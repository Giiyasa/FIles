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Usaha\Keling Ciggarete\Excel\"/>
    </mc:Choice>
  </mc:AlternateContent>
  <xr:revisionPtr revIDLastSave="0" documentId="13_ncr:1_{4B27C301-ABB0-4FDA-989F-D237F4E5726E}" xr6:coauthVersionLast="47" xr6:coauthVersionMax="47" xr10:uidLastSave="{00000000-0000-0000-0000-000000000000}"/>
  <bookViews>
    <workbookView xWindow="-120" yWindow="-120" windowWidth="29040" windowHeight="17520" xr2:uid="{CA2F246C-515F-46E6-BF3E-9BD6D1A71B71}"/>
  </bookViews>
  <sheets>
    <sheet name="Master Barang" sheetId="3" r:id="rId1"/>
    <sheet name="Laporan Keuangan Summary" sheetId="4" r:id="rId2"/>
    <sheet name="Transaksi_barang_toko1" sheetId="1" r:id="rId3"/>
    <sheet name="Transaksi_barang_toko2" sheetId="8" r:id="rId4"/>
    <sheet name="Hutang" sheetId="6" r:id="rId5"/>
    <sheet name="Beban" sheetId="2" r:id="rId6"/>
    <sheet name="Pendapatan_Lainya" sheetId="7" r:id="rId7"/>
  </sheets>
  <definedNames>
    <definedName name="_xlnm._FilterDatabase" localSheetId="5" hidden="1">Beban!$A$1:$F$1</definedName>
    <definedName name="_xlnm._FilterDatabase" localSheetId="2" hidden="1">Transaksi_barang_toko1!$A$1:$M$100</definedName>
    <definedName name="_xlnm._FilterDatabase" localSheetId="3" hidden="1">Transaksi_barang_toko2!$A$1:$I$1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8" l="1"/>
  <c r="G17" i="8"/>
  <c r="F17" i="8"/>
  <c r="G16" i="8"/>
  <c r="G15" i="8"/>
  <c r="F15" i="8"/>
  <c r="G14" i="8"/>
  <c r="F14" i="8"/>
  <c r="G12" i="8"/>
  <c r="F12" i="8"/>
  <c r="B46" i="4"/>
  <c r="B45" i="4"/>
  <c r="B43" i="4"/>
  <c r="P10" i="8"/>
  <c r="P11" i="8"/>
  <c r="B39" i="4" l="1"/>
  <c r="B40" i="4" s="1"/>
  <c r="B34" i="4"/>
  <c r="B49" i="4"/>
  <c r="E48" i="4"/>
  <c r="E47" i="4"/>
  <c r="E36" i="4"/>
  <c r="G8" i="8"/>
  <c r="F8" i="8"/>
  <c r="G9" i="8"/>
  <c r="F9" i="8"/>
  <c r="P7" i="8"/>
  <c r="P6" i="8"/>
  <c r="O8" i="8"/>
  <c r="P8" i="8" s="1"/>
  <c r="O7" i="8"/>
  <c r="O6" i="8"/>
  <c r="P26" i="1"/>
  <c r="P3" i="8"/>
  <c r="P4" i="8"/>
  <c r="P9" i="8"/>
  <c r="P12" i="8"/>
  <c r="P14" i="8"/>
  <c r="P17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2" i="8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2" i="1"/>
  <c r="J2" i="1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3" i="8"/>
  <c r="O4" i="8"/>
  <c r="O5" i="8"/>
  <c r="P5" i="8" s="1"/>
  <c r="O9" i="8"/>
  <c r="P13" i="8"/>
  <c r="P15" i="8"/>
  <c r="P16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2" i="8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B35" i="4" l="1"/>
  <c r="B7" i="4"/>
  <c r="B47" i="4"/>
  <c r="G8" i="1"/>
  <c r="F8" i="1"/>
  <c r="G7" i="1"/>
  <c r="F7" i="1"/>
  <c r="G6" i="1"/>
  <c r="F6" i="1"/>
  <c r="G5" i="1"/>
  <c r="F5" i="1"/>
  <c r="G4" i="1"/>
  <c r="F4" i="1"/>
  <c r="G3" i="1"/>
  <c r="F3" i="1"/>
  <c r="G2" i="1"/>
  <c r="O2" i="1" s="1"/>
  <c r="F2" i="1"/>
  <c r="F38" i="3"/>
  <c r="E38" i="3"/>
  <c r="H38" i="3" s="1"/>
  <c r="G37" i="3"/>
  <c r="F37" i="3"/>
  <c r="E37" i="3"/>
  <c r="H37" i="3" s="1"/>
  <c r="F36" i="3"/>
  <c r="E36" i="3"/>
  <c r="H36" i="3" s="1"/>
  <c r="F35" i="3"/>
  <c r="E35" i="3"/>
  <c r="H35" i="3" s="1"/>
  <c r="F34" i="3"/>
  <c r="E34" i="3"/>
  <c r="H34" i="3" s="1"/>
  <c r="F33" i="3"/>
  <c r="E33" i="3"/>
  <c r="H33" i="3" s="1"/>
  <c r="F32" i="3"/>
  <c r="E32" i="3"/>
  <c r="H32" i="3" s="1"/>
  <c r="F31" i="3"/>
  <c r="E31" i="3"/>
  <c r="H31" i="3" s="1"/>
  <c r="F30" i="3"/>
  <c r="E30" i="3"/>
  <c r="G30" i="3" s="1"/>
  <c r="F29" i="3"/>
  <c r="E29" i="3"/>
  <c r="H29" i="3" s="1"/>
  <c r="F28" i="3"/>
  <c r="E28" i="3"/>
  <c r="H28" i="3" s="1"/>
  <c r="F27" i="3"/>
  <c r="E27" i="3"/>
  <c r="H27" i="3" s="1"/>
  <c r="G36" i="3" l="1"/>
  <c r="H30" i="3"/>
  <c r="G29" i="3"/>
  <c r="G34" i="3"/>
  <c r="G35" i="3"/>
  <c r="G31" i="3"/>
  <c r="G27" i="3"/>
  <c r="G32" i="3"/>
  <c r="G28" i="3"/>
  <c r="G33" i="3"/>
  <c r="G38" i="3"/>
  <c r="G6" i="8"/>
  <c r="G5" i="8"/>
  <c r="G4" i="8"/>
  <c r="F6" i="8"/>
  <c r="F5" i="8"/>
  <c r="F4" i="8"/>
  <c r="E8" i="4"/>
  <c r="F3" i="8" l="1"/>
  <c r="G2" i="8"/>
  <c r="F2" i="8"/>
  <c r="G19" i="1" l="1"/>
  <c r="F19" i="1"/>
  <c r="G25" i="1"/>
  <c r="F25" i="1"/>
  <c r="G18" i="1"/>
  <c r="F18" i="1"/>
  <c r="G24" i="1"/>
  <c r="F24" i="1"/>
  <c r="G17" i="1"/>
  <c r="F17" i="1"/>
  <c r="G16" i="1"/>
  <c r="F16" i="1"/>
  <c r="G15" i="1"/>
  <c r="F15" i="1"/>
  <c r="G23" i="1"/>
  <c r="F23" i="1"/>
  <c r="G22" i="1"/>
  <c r="F22" i="1"/>
  <c r="G21" i="1"/>
  <c r="F21" i="1"/>
  <c r="G14" i="1"/>
  <c r="F14" i="1"/>
  <c r="G13" i="1"/>
  <c r="F13" i="1"/>
  <c r="G9" i="1"/>
  <c r="F9" i="1"/>
  <c r="G26" i="1"/>
  <c r="F26" i="1"/>
  <c r="G12" i="1"/>
  <c r="G11" i="1"/>
  <c r="G20" i="1"/>
  <c r="G10" i="1"/>
  <c r="F12" i="1"/>
  <c r="F11" i="1"/>
  <c r="F20" i="1"/>
  <c r="F10" i="1"/>
  <c r="B6" i="4" l="1"/>
  <c r="B11" i="4"/>
  <c r="F26" i="3"/>
  <c r="E26" i="3"/>
  <c r="H26" i="3" s="1"/>
  <c r="H3" i="8"/>
  <c r="I3" i="8" s="1"/>
  <c r="J3" i="8" s="1"/>
  <c r="H4" i="8"/>
  <c r="I4" i="8" s="1"/>
  <c r="J4" i="8" s="1"/>
  <c r="H5" i="8"/>
  <c r="I5" i="8" s="1"/>
  <c r="J5" i="8" s="1"/>
  <c r="H6" i="8"/>
  <c r="I6" i="8" s="1"/>
  <c r="J6" i="8" s="1"/>
  <c r="H7" i="8"/>
  <c r="I7" i="8" s="1"/>
  <c r="J7" i="8" s="1"/>
  <c r="H8" i="8"/>
  <c r="I8" i="8" s="1"/>
  <c r="J8" i="8" s="1"/>
  <c r="H9" i="8"/>
  <c r="I9" i="8" s="1"/>
  <c r="J9" i="8" s="1"/>
  <c r="H10" i="8"/>
  <c r="I10" i="8" s="1"/>
  <c r="J10" i="8" s="1"/>
  <c r="H11" i="8"/>
  <c r="I11" i="8" s="1"/>
  <c r="J11" i="8" s="1"/>
  <c r="H12" i="8"/>
  <c r="I12" i="8" s="1"/>
  <c r="J12" i="8" s="1"/>
  <c r="H13" i="8"/>
  <c r="I13" i="8" s="1"/>
  <c r="J13" i="8" s="1"/>
  <c r="H14" i="8"/>
  <c r="I14" i="8"/>
  <c r="J14" i="8" s="1"/>
  <c r="H15" i="8"/>
  <c r="I15" i="8" s="1"/>
  <c r="J15" i="8" s="1"/>
  <c r="H16" i="8"/>
  <c r="I16" i="8" s="1"/>
  <c r="J16" i="8" s="1"/>
  <c r="H17" i="8"/>
  <c r="I17" i="8" s="1"/>
  <c r="J17" i="8" s="1"/>
  <c r="H18" i="8"/>
  <c r="I18" i="8" s="1"/>
  <c r="J18" i="8" s="1"/>
  <c r="H19" i="8"/>
  <c r="I19" i="8"/>
  <c r="J19" i="8"/>
  <c r="H20" i="8"/>
  <c r="I20" i="8"/>
  <c r="J20" i="8"/>
  <c r="H21" i="8"/>
  <c r="I21" i="8"/>
  <c r="J21" i="8"/>
  <c r="H22" i="8"/>
  <c r="I22" i="8" s="1"/>
  <c r="J22" i="8" s="1"/>
  <c r="H23" i="8"/>
  <c r="I23" i="8"/>
  <c r="J23" i="8" s="1"/>
  <c r="H24" i="8"/>
  <c r="I24" i="8"/>
  <c r="J24" i="8"/>
  <c r="H25" i="8"/>
  <c r="I25" i="8"/>
  <c r="J25" i="8" s="1"/>
  <c r="H26" i="8"/>
  <c r="I26" i="8"/>
  <c r="J26" i="8"/>
  <c r="H27" i="8"/>
  <c r="I27" i="8"/>
  <c r="J27" i="8"/>
  <c r="H28" i="8"/>
  <c r="I28" i="8"/>
  <c r="J28" i="8"/>
  <c r="H29" i="8"/>
  <c r="I29" i="8"/>
  <c r="J29" i="8" s="1"/>
  <c r="H30" i="8"/>
  <c r="I30" i="8" s="1"/>
  <c r="J30" i="8" s="1"/>
  <c r="H31" i="8"/>
  <c r="I31" i="8"/>
  <c r="J31" i="8"/>
  <c r="H32" i="8"/>
  <c r="I32" i="8" s="1"/>
  <c r="J32" i="8" s="1"/>
  <c r="H33" i="8"/>
  <c r="I33" i="8"/>
  <c r="J33" i="8"/>
  <c r="H34" i="8"/>
  <c r="I34" i="8"/>
  <c r="J34" i="8"/>
  <c r="H35" i="8"/>
  <c r="I35" i="8"/>
  <c r="J35" i="8"/>
  <c r="H36" i="8"/>
  <c r="I36" i="8" s="1"/>
  <c r="J36" i="8" s="1"/>
  <c r="H37" i="8"/>
  <c r="I37" i="8"/>
  <c r="J37" i="8"/>
  <c r="H38" i="8"/>
  <c r="I38" i="8"/>
  <c r="J38" i="8"/>
  <c r="H39" i="8"/>
  <c r="I39" i="8"/>
  <c r="J39" i="8"/>
  <c r="H40" i="8"/>
  <c r="I40" i="8"/>
  <c r="J40" i="8"/>
  <c r="H41" i="8"/>
  <c r="I41" i="8"/>
  <c r="J41" i="8"/>
  <c r="H42" i="8"/>
  <c r="I42" i="8"/>
  <c r="J42" i="8"/>
  <c r="H43" i="8"/>
  <c r="I43" i="8"/>
  <c r="J43" i="8" s="1"/>
  <c r="H44" i="8"/>
  <c r="I44" i="8"/>
  <c r="J44" i="8"/>
  <c r="H45" i="8"/>
  <c r="I45" i="8"/>
  <c r="J45" i="8" s="1"/>
  <c r="H46" i="8"/>
  <c r="I46" i="8"/>
  <c r="J46" i="8"/>
  <c r="H47" i="8"/>
  <c r="I47" i="8"/>
  <c r="J47" i="8"/>
  <c r="H48" i="8"/>
  <c r="I48" i="8"/>
  <c r="J48" i="8"/>
  <c r="H49" i="8"/>
  <c r="I49" i="8"/>
  <c r="J49" i="8" s="1"/>
  <c r="H50" i="8"/>
  <c r="I50" i="8" s="1"/>
  <c r="J50" i="8" s="1"/>
  <c r="H51" i="8"/>
  <c r="I51" i="8"/>
  <c r="J51" i="8"/>
  <c r="H52" i="8"/>
  <c r="I52" i="8" s="1"/>
  <c r="J52" i="8" s="1"/>
  <c r="H53" i="8"/>
  <c r="I53" i="8"/>
  <c r="J53" i="8"/>
  <c r="H54" i="8"/>
  <c r="I54" i="8"/>
  <c r="J54" i="8"/>
  <c r="H55" i="8"/>
  <c r="I55" i="8"/>
  <c r="J55" i="8"/>
  <c r="H56" i="8"/>
  <c r="I56" i="8" s="1"/>
  <c r="J56" i="8" s="1"/>
  <c r="H57" i="8"/>
  <c r="I57" i="8"/>
  <c r="J57" i="8"/>
  <c r="H58" i="8"/>
  <c r="I58" i="8"/>
  <c r="J58" i="8"/>
  <c r="H59" i="8"/>
  <c r="I59" i="8"/>
  <c r="J59" i="8"/>
  <c r="H60" i="8"/>
  <c r="I60" i="8"/>
  <c r="J60" i="8"/>
  <c r="H61" i="8"/>
  <c r="I61" i="8"/>
  <c r="J61" i="8"/>
  <c r="H62" i="8"/>
  <c r="I62" i="8"/>
  <c r="J62" i="8"/>
  <c r="H63" i="8"/>
  <c r="I63" i="8"/>
  <c r="J63" i="8" s="1"/>
  <c r="H64" i="8"/>
  <c r="I64" i="8"/>
  <c r="J64" i="8"/>
  <c r="H65" i="8"/>
  <c r="I65" i="8"/>
  <c r="J65" i="8" s="1"/>
  <c r="H66" i="8"/>
  <c r="I66" i="8"/>
  <c r="J66" i="8"/>
  <c r="H67" i="8"/>
  <c r="I67" i="8"/>
  <c r="J67" i="8"/>
  <c r="H68" i="8"/>
  <c r="I68" i="8"/>
  <c r="J68" i="8"/>
  <c r="H69" i="8"/>
  <c r="I69" i="8"/>
  <c r="J69" i="8" s="1"/>
  <c r="H70" i="8"/>
  <c r="I70" i="8" s="1"/>
  <c r="J70" i="8" s="1"/>
  <c r="H71" i="8"/>
  <c r="I71" i="8"/>
  <c r="J71" i="8"/>
  <c r="H72" i="8"/>
  <c r="I72" i="8" s="1"/>
  <c r="J72" i="8" s="1"/>
  <c r="H73" i="8"/>
  <c r="I73" i="8"/>
  <c r="J73" i="8"/>
  <c r="H74" i="8"/>
  <c r="I74" i="8"/>
  <c r="J74" i="8"/>
  <c r="H75" i="8"/>
  <c r="I75" i="8"/>
  <c r="J75" i="8"/>
  <c r="H76" i="8"/>
  <c r="I76" i="8" s="1"/>
  <c r="J76" i="8" s="1"/>
  <c r="H77" i="8"/>
  <c r="I77" i="8"/>
  <c r="J77" i="8"/>
  <c r="H78" i="8"/>
  <c r="I78" i="8"/>
  <c r="J78" i="8"/>
  <c r="H79" i="8"/>
  <c r="I79" i="8"/>
  <c r="J79" i="8"/>
  <c r="H80" i="8"/>
  <c r="I80" i="8"/>
  <c r="J80" i="8"/>
  <c r="H81" i="8"/>
  <c r="I81" i="8"/>
  <c r="J81" i="8"/>
  <c r="H82" i="8"/>
  <c r="I82" i="8"/>
  <c r="J82" i="8"/>
  <c r="H83" i="8"/>
  <c r="I83" i="8"/>
  <c r="J83" i="8" s="1"/>
  <c r="H84" i="8"/>
  <c r="I84" i="8"/>
  <c r="J84" i="8"/>
  <c r="H85" i="8"/>
  <c r="I85" i="8"/>
  <c r="J85" i="8" s="1"/>
  <c r="H86" i="8"/>
  <c r="I86" i="8"/>
  <c r="J86" i="8"/>
  <c r="H87" i="8"/>
  <c r="I87" i="8"/>
  <c r="J87" i="8"/>
  <c r="H88" i="8"/>
  <c r="I88" i="8"/>
  <c r="J88" i="8"/>
  <c r="H89" i="8"/>
  <c r="I89" i="8"/>
  <c r="J89" i="8" s="1"/>
  <c r="H90" i="8"/>
  <c r="I90" i="8" s="1"/>
  <c r="J90" i="8" s="1"/>
  <c r="H91" i="8"/>
  <c r="I91" i="8"/>
  <c r="J91" i="8"/>
  <c r="H92" i="8"/>
  <c r="I92" i="8" s="1"/>
  <c r="J92" i="8" s="1"/>
  <c r="H93" i="8"/>
  <c r="I93" i="8"/>
  <c r="J93" i="8"/>
  <c r="H94" i="8"/>
  <c r="I94" i="8"/>
  <c r="J94" i="8"/>
  <c r="H95" i="8"/>
  <c r="I95" i="8"/>
  <c r="J95" i="8"/>
  <c r="H96" i="8"/>
  <c r="I96" i="8" s="1"/>
  <c r="J96" i="8" s="1"/>
  <c r="H97" i="8"/>
  <c r="I97" i="8"/>
  <c r="J97" i="8"/>
  <c r="H98" i="8"/>
  <c r="I98" i="8"/>
  <c r="J98" i="8"/>
  <c r="H2" i="8"/>
  <c r="I2" i="8" s="1"/>
  <c r="J2" i="8" s="1"/>
  <c r="H21" i="1"/>
  <c r="I21" i="1" s="1"/>
  <c r="J21" i="1" s="1"/>
  <c r="H22" i="1"/>
  <c r="I22" i="1" s="1"/>
  <c r="J22" i="1" s="1"/>
  <c r="H23" i="1"/>
  <c r="I23" i="1" s="1"/>
  <c r="J23" i="1" s="1"/>
  <c r="H15" i="1"/>
  <c r="I15" i="1" s="1"/>
  <c r="J15" i="1" s="1"/>
  <c r="H16" i="1"/>
  <c r="I16" i="1" s="1"/>
  <c r="J16" i="1" s="1"/>
  <c r="H17" i="1"/>
  <c r="I17" i="1" s="1"/>
  <c r="J17" i="1" s="1"/>
  <c r="H24" i="1"/>
  <c r="I24" i="1" s="1"/>
  <c r="J24" i="1" s="1"/>
  <c r="H18" i="1"/>
  <c r="I18" i="1" s="1"/>
  <c r="J18" i="1" s="1"/>
  <c r="H25" i="1"/>
  <c r="I25" i="1" s="1"/>
  <c r="J25" i="1" s="1"/>
  <c r="H19" i="1"/>
  <c r="I19" i="1" s="1"/>
  <c r="J19" i="1" s="1"/>
  <c r="H27" i="1"/>
  <c r="I27" i="1" s="1"/>
  <c r="J27" i="1" s="1"/>
  <c r="H28" i="1"/>
  <c r="I28" i="1" s="1"/>
  <c r="J28" i="1" s="1"/>
  <c r="H29" i="1"/>
  <c r="I29" i="1" s="1"/>
  <c r="J29" i="1" s="1"/>
  <c r="H30" i="1"/>
  <c r="I30" i="1" s="1"/>
  <c r="J30" i="1" s="1"/>
  <c r="H31" i="1"/>
  <c r="I31" i="1" s="1"/>
  <c r="J31" i="1" s="1"/>
  <c r="H32" i="1"/>
  <c r="I32" i="1" s="1"/>
  <c r="J32" i="1" s="1"/>
  <c r="H33" i="1"/>
  <c r="I33" i="1" s="1"/>
  <c r="J33" i="1" s="1"/>
  <c r="H34" i="1"/>
  <c r="I34" i="1" s="1"/>
  <c r="J34" i="1" s="1"/>
  <c r="H35" i="1"/>
  <c r="I35" i="1" s="1"/>
  <c r="J35" i="1" s="1"/>
  <c r="H36" i="1"/>
  <c r="I36" i="1" s="1"/>
  <c r="J36" i="1" s="1"/>
  <c r="H37" i="1"/>
  <c r="I37" i="1" s="1"/>
  <c r="J37" i="1" s="1"/>
  <c r="H38" i="1"/>
  <c r="I38" i="1" s="1"/>
  <c r="J38" i="1" s="1"/>
  <c r="H39" i="1"/>
  <c r="I39" i="1" s="1"/>
  <c r="J39" i="1" s="1"/>
  <c r="H40" i="1"/>
  <c r="I40" i="1" s="1"/>
  <c r="J40" i="1" s="1"/>
  <c r="H41" i="1"/>
  <c r="I41" i="1" s="1"/>
  <c r="J41" i="1" s="1"/>
  <c r="H42" i="1"/>
  <c r="I42" i="1" s="1"/>
  <c r="J42" i="1" s="1"/>
  <c r="H43" i="1"/>
  <c r="I43" i="1" s="1"/>
  <c r="J43" i="1" s="1"/>
  <c r="H44" i="1"/>
  <c r="I44" i="1" s="1"/>
  <c r="J44" i="1" s="1"/>
  <c r="H45" i="1"/>
  <c r="I45" i="1" s="1"/>
  <c r="J45" i="1" s="1"/>
  <c r="H46" i="1"/>
  <c r="I46" i="1" s="1"/>
  <c r="J46" i="1" s="1"/>
  <c r="H47" i="1"/>
  <c r="I47" i="1" s="1"/>
  <c r="J47" i="1" s="1"/>
  <c r="H48" i="1"/>
  <c r="I48" i="1" s="1"/>
  <c r="J48" i="1" s="1"/>
  <c r="H49" i="1"/>
  <c r="I49" i="1" s="1"/>
  <c r="J49" i="1" s="1"/>
  <c r="H50" i="1"/>
  <c r="I50" i="1" s="1"/>
  <c r="J50" i="1" s="1"/>
  <c r="H51" i="1"/>
  <c r="I51" i="1" s="1"/>
  <c r="J51" i="1" s="1"/>
  <c r="H52" i="1"/>
  <c r="I52" i="1" s="1"/>
  <c r="J52" i="1" s="1"/>
  <c r="H53" i="1"/>
  <c r="I53" i="1" s="1"/>
  <c r="J53" i="1" s="1"/>
  <c r="H54" i="1"/>
  <c r="I54" i="1" s="1"/>
  <c r="J54" i="1" s="1"/>
  <c r="H55" i="1"/>
  <c r="I55" i="1" s="1"/>
  <c r="J55" i="1" s="1"/>
  <c r="H56" i="1"/>
  <c r="I56" i="1" s="1"/>
  <c r="J56" i="1" s="1"/>
  <c r="H57" i="1"/>
  <c r="I57" i="1" s="1"/>
  <c r="J57" i="1" s="1"/>
  <c r="H58" i="1"/>
  <c r="I58" i="1" s="1"/>
  <c r="J58" i="1" s="1"/>
  <c r="H59" i="1"/>
  <c r="I59" i="1" s="1"/>
  <c r="J59" i="1" s="1"/>
  <c r="H60" i="1"/>
  <c r="I60" i="1" s="1"/>
  <c r="J60" i="1" s="1"/>
  <c r="H61" i="1"/>
  <c r="I61" i="1" s="1"/>
  <c r="J61" i="1" s="1"/>
  <c r="H62" i="1"/>
  <c r="I62" i="1" s="1"/>
  <c r="J62" i="1" s="1"/>
  <c r="H63" i="1"/>
  <c r="I63" i="1" s="1"/>
  <c r="J63" i="1" s="1"/>
  <c r="H64" i="1"/>
  <c r="I64" i="1" s="1"/>
  <c r="J64" i="1" s="1"/>
  <c r="H65" i="1"/>
  <c r="I65" i="1" s="1"/>
  <c r="J65" i="1" s="1"/>
  <c r="H66" i="1"/>
  <c r="I66" i="1" s="1"/>
  <c r="J66" i="1" s="1"/>
  <c r="H67" i="1"/>
  <c r="I67" i="1" s="1"/>
  <c r="J67" i="1" s="1"/>
  <c r="H68" i="1"/>
  <c r="I68" i="1" s="1"/>
  <c r="J68" i="1" s="1"/>
  <c r="H69" i="1"/>
  <c r="I69" i="1" s="1"/>
  <c r="J69" i="1" s="1"/>
  <c r="H70" i="1"/>
  <c r="I70" i="1" s="1"/>
  <c r="J70" i="1" s="1"/>
  <c r="H71" i="1"/>
  <c r="I71" i="1" s="1"/>
  <c r="J71" i="1" s="1"/>
  <c r="H72" i="1"/>
  <c r="I72" i="1" s="1"/>
  <c r="J72" i="1" s="1"/>
  <c r="H73" i="1"/>
  <c r="I73" i="1" s="1"/>
  <c r="J73" i="1" s="1"/>
  <c r="H74" i="1"/>
  <c r="I74" i="1" s="1"/>
  <c r="J74" i="1" s="1"/>
  <c r="H75" i="1"/>
  <c r="I75" i="1" s="1"/>
  <c r="J75" i="1" s="1"/>
  <c r="H76" i="1"/>
  <c r="I76" i="1" s="1"/>
  <c r="J76" i="1" s="1"/>
  <c r="H77" i="1"/>
  <c r="I77" i="1" s="1"/>
  <c r="J77" i="1" s="1"/>
  <c r="H78" i="1"/>
  <c r="I78" i="1" s="1"/>
  <c r="J78" i="1" s="1"/>
  <c r="H79" i="1"/>
  <c r="I79" i="1" s="1"/>
  <c r="J79" i="1" s="1"/>
  <c r="H80" i="1"/>
  <c r="I80" i="1" s="1"/>
  <c r="J80" i="1" s="1"/>
  <c r="H81" i="1"/>
  <c r="I81" i="1" s="1"/>
  <c r="J81" i="1" s="1"/>
  <c r="H82" i="1"/>
  <c r="I82" i="1" s="1"/>
  <c r="J82" i="1" s="1"/>
  <c r="H83" i="1"/>
  <c r="I83" i="1" s="1"/>
  <c r="J83" i="1" s="1"/>
  <c r="H84" i="1"/>
  <c r="I84" i="1" s="1"/>
  <c r="J84" i="1" s="1"/>
  <c r="H85" i="1"/>
  <c r="I85" i="1" s="1"/>
  <c r="J85" i="1" s="1"/>
  <c r="H86" i="1"/>
  <c r="I86" i="1" s="1"/>
  <c r="J86" i="1" s="1"/>
  <c r="H87" i="1"/>
  <c r="I87" i="1" s="1"/>
  <c r="J87" i="1" s="1"/>
  <c r="H88" i="1"/>
  <c r="I88" i="1" s="1"/>
  <c r="J88" i="1" s="1"/>
  <c r="H89" i="1"/>
  <c r="I89" i="1" s="1"/>
  <c r="J89" i="1" s="1"/>
  <c r="H90" i="1"/>
  <c r="I90" i="1" s="1"/>
  <c r="J90" i="1" s="1"/>
  <c r="H91" i="1"/>
  <c r="I91" i="1" s="1"/>
  <c r="J91" i="1" s="1"/>
  <c r="H92" i="1"/>
  <c r="I92" i="1" s="1"/>
  <c r="J92" i="1" s="1"/>
  <c r="H93" i="1"/>
  <c r="I93" i="1" s="1"/>
  <c r="J93" i="1" s="1"/>
  <c r="H94" i="1"/>
  <c r="I94" i="1" s="1"/>
  <c r="J94" i="1" s="1"/>
  <c r="H95" i="1"/>
  <c r="I95" i="1" s="1"/>
  <c r="J95" i="1" s="1"/>
  <c r="H96" i="1"/>
  <c r="I96" i="1" s="1"/>
  <c r="J96" i="1" s="1"/>
  <c r="H97" i="1"/>
  <c r="I97" i="1" s="1"/>
  <c r="J97" i="1" s="1"/>
  <c r="H98" i="1"/>
  <c r="I98" i="1" s="1"/>
  <c r="J98" i="1" s="1"/>
  <c r="H99" i="1"/>
  <c r="I99" i="1" s="1"/>
  <c r="J99" i="1" s="1"/>
  <c r="H100" i="1"/>
  <c r="I100" i="1" s="1"/>
  <c r="J100" i="1" s="1"/>
  <c r="H20" i="1"/>
  <c r="I20" i="1" s="1"/>
  <c r="J20" i="1" s="1"/>
  <c r="H2" i="1"/>
  <c r="I2" i="1" s="1"/>
  <c r="H3" i="1"/>
  <c r="I3" i="1" s="1"/>
  <c r="J3" i="1" s="1"/>
  <c r="H11" i="1"/>
  <c r="I11" i="1" s="1"/>
  <c r="J11" i="1" s="1"/>
  <c r="H12" i="1"/>
  <c r="I12" i="1" s="1"/>
  <c r="J12" i="1" s="1"/>
  <c r="H4" i="1"/>
  <c r="I4" i="1" s="1"/>
  <c r="J4" i="1" s="1"/>
  <c r="H5" i="1"/>
  <c r="I5" i="1" s="1"/>
  <c r="J5" i="1" s="1"/>
  <c r="H6" i="1"/>
  <c r="I6" i="1" s="1"/>
  <c r="J6" i="1" s="1"/>
  <c r="H26" i="1"/>
  <c r="I26" i="1" s="1"/>
  <c r="J26" i="1" s="1"/>
  <c r="H7" i="1"/>
  <c r="I7" i="1" s="1"/>
  <c r="J7" i="1" s="1"/>
  <c r="H8" i="1"/>
  <c r="I8" i="1" s="1"/>
  <c r="J8" i="1" s="1"/>
  <c r="H9" i="1"/>
  <c r="I9" i="1" s="1"/>
  <c r="J9" i="1" s="1"/>
  <c r="H13" i="1"/>
  <c r="I13" i="1" s="1"/>
  <c r="J13" i="1" s="1"/>
  <c r="H14" i="1"/>
  <c r="I14" i="1" s="1"/>
  <c r="J14" i="1" s="1"/>
  <c r="H10" i="1"/>
  <c r="I10" i="1" s="1"/>
  <c r="J10" i="1" s="1"/>
  <c r="P18" i="8" l="1"/>
  <c r="B36" i="4"/>
  <c r="B37" i="4" s="1"/>
  <c r="B41" i="4" s="1"/>
  <c r="B8" i="4"/>
  <c r="G26" i="3"/>
  <c r="B21" i="4"/>
  <c r="B15" i="4"/>
  <c r="E20" i="4"/>
  <c r="E19" i="4"/>
  <c r="B18" i="4"/>
  <c r="B17" i="4"/>
  <c r="B55" i="4" l="1"/>
  <c r="B54" i="4"/>
  <c r="E34" i="4" s="1"/>
  <c r="E37" i="4" s="1"/>
  <c r="E46" i="4" s="1"/>
  <c r="E49" i="4" s="1"/>
  <c r="E51" i="4" s="1"/>
  <c r="F18" i="3"/>
  <c r="E18" i="3"/>
  <c r="B19" i="4"/>
  <c r="F22" i="3"/>
  <c r="F20" i="3"/>
  <c r="F19" i="3"/>
  <c r="F17" i="3"/>
  <c r="F16" i="3"/>
  <c r="F14" i="3"/>
  <c r="F13" i="3"/>
  <c r="F12" i="3"/>
  <c r="F11" i="3"/>
  <c r="F9" i="3"/>
  <c r="F8" i="3"/>
  <c r="F7" i="3"/>
  <c r="F6" i="3"/>
  <c r="F4" i="3"/>
  <c r="F3" i="3"/>
  <c r="E2" i="3"/>
  <c r="F2" i="3" l="1"/>
  <c r="F25" i="3"/>
  <c r="F23" i="3"/>
  <c r="F24" i="3"/>
  <c r="F5" i="3"/>
  <c r="F10" i="3"/>
  <c r="F15" i="3"/>
  <c r="F21" i="3"/>
  <c r="H2" i="3"/>
  <c r="G2" i="3"/>
  <c r="H18" i="3"/>
  <c r="G18" i="3"/>
  <c r="E10" i="3"/>
  <c r="E21" i="3"/>
  <c r="E11" i="3"/>
  <c r="E17" i="3"/>
  <c r="E5" i="3"/>
  <c r="E15" i="3"/>
  <c r="E6" i="3"/>
  <c r="E16" i="3"/>
  <c r="E22" i="3"/>
  <c r="E7" i="3"/>
  <c r="E12" i="3"/>
  <c r="E23" i="3"/>
  <c r="E3" i="3"/>
  <c r="E8" i="3"/>
  <c r="E13" i="3"/>
  <c r="E19" i="3"/>
  <c r="E24" i="3"/>
  <c r="E4" i="3"/>
  <c r="E9" i="3"/>
  <c r="E14" i="3"/>
  <c r="E20" i="3"/>
  <c r="E25" i="3"/>
  <c r="B12" i="4"/>
  <c r="H11" i="3" l="1"/>
  <c r="G11" i="3"/>
  <c r="H25" i="3"/>
  <c r="G25" i="3"/>
  <c r="H21" i="3"/>
  <c r="G21" i="3"/>
  <c r="H20" i="3"/>
  <c r="G20" i="3"/>
  <c r="H10" i="3"/>
  <c r="G10" i="3"/>
  <c r="H14" i="3"/>
  <c r="G14" i="3"/>
  <c r="H9" i="3"/>
  <c r="G9" i="3"/>
  <c r="H4" i="3"/>
  <c r="G4" i="3"/>
  <c r="H24" i="3"/>
  <c r="G24" i="3"/>
  <c r="H19" i="3"/>
  <c r="G19" i="3"/>
  <c r="H13" i="3"/>
  <c r="G13" i="3"/>
  <c r="H8" i="3"/>
  <c r="G8" i="3"/>
  <c r="H3" i="3"/>
  <c r="G3" i="3"/>
  <c r="H23" i="3"/>
  <c r="G23" i="3"/>
  <c r="H12" i="3"/>
  <c r="G12" i="3"/>
  <c r="H7" i="3"/>
  <c r="G7" i="3"/>
  <c r="H22" i="3"/>
  <c r="G22" i="3"/>
  <c r="H16" i="3"/>
  <c r="G16" i="3"/>
  <c r="H6" i="3"/>
  <c r="G6" i="3"/>
  <c r="H15" i="3"/>
  <c r="G15" i="3"/>
  <c r="H5" i="3"/>
  <c r="G5" i="3"/>
  <c r="H17" i="3"/>
  <c r="G17" i="3"/>
  <c r="B9" i="4"/>
  <c r="B13" i="4" s="1"/>
  <c r="B26" i="4" l="1"/>
  <c r="B27" i="4"/>
  <c r="E6" i="4" l="1"/>
  <c r="E9" i="4" s="1"/>
  <c r="E18" i="4" l="1"/>
  <c r="E21" i="4" s="1"/>
  <c r="E23" i="4" s="1"/>
</calcChain>
</file>

<file path=xl/sharedStrings.xml><?xml version="1.0" encoding="utf-8"?>
<sst xmlns="http://schemas.openxmlformats.org/spreadsheetml/2006/main" count="404" uniqueCount="151">
  <si>
    <t>Proses Pesanan</t>
  </si>
  <si>
    <t>Periode Bulan</t>
  </si>
  <si>
    <t>Pendapatan Kotor</t>
  </si>
  <si>
    <t>Harga jual</t>
  </si>
  <si>
    <t>Harga Beli</t>
  </si>
  <si>
    <t>Qty</t>
  </si>
  <si>
    <t>Nama Rokok</t>
  </si>
  <si>
    <t>Tanggal</t>
  </si>
  <si>
    <t xml:space="preserve">No </t>
  </si>
  <si>
    <t>Keterangan</t>
  </si>
  <si>
    <t>Jumlah</t>
  </si>
  <si>
    <t xml:space="preserve">MERK </t>
  </si>
  <si>
    <t xml:space="preserve">HARGA </t>
  </si>
  <si>
    <t>HARGA / SLOP</t>
  </si>
  <si>
    <t>HARGA MINIMAL JUAL</t>
  </si>
  <si>
    <t>ALL VARIAN SMITH</t>
  </si>
  <si>
    <t>Pendapatan</t>
  </si>
  <si>
    <t>Jenis</t>
  </si>
  <si>
    <t>No</t>
  </si>
  <si>
    <t>Jenis Hutang</t>
  </si>
  <si>
    <t>periode</t>
  </si>
  <si>
    <t>Status Hutang</t>
  </si>
  <si>
    <t>Pendapatan Operasional</t>
  </si>
  <si>
    <t>Penjualan</t>
  </si>
  <si>
    <t>Potongan Penjualan</t>
  </si>
  <si>
    <t>Diskon Penjualan</t>
  </si>
  <si>
    <t>Total Pendapatan Operasi</t>
  </si>
  <si>
    <t>Harga Pokok Penjualan</t>
  </si>
  <si>
    <t>HPP (harga pokok penjualan)</t>
  </si>
  <si>
    <t>Total HPP</t>
  </si>
  <si>
    <t>Laba Kotor</t>
  </si>
  <si>
    <t>Biaya Operasional</t>
  </si>
  <si>
    <t>Biaya Umum dan Administrasi</t>
  </si>
  <si>
    <t>Beban Utilitas, Administrasi, Sewa dan lainnya</t>
  </si>
  <si>
    <t>Total Biaya Operasional</t>
  </si>
  <si>
    <t>Pendapatan dari Operasi</t>
  </si>
  <si>
    <t>Pendapatan dan Beban Lainnya</t>
  </si>
  <si>
    <t>Pendapatan lainnya</t>
  </si>
  <si>
    <t>Total Pendapatan Lainnya</t>
  </si>
  <si>
    <t>Biaya lainnya</t>
  </si>
  <si>
    <t>Total Biaya Lainnya</t>
  </si>
  <si>
    <t>Total Pendapatan dan Biaya Lainnya</t>
  </si>
  <si>
    <t>Laba/Rugi Bersih (Sebelum Pajak)</t>
  </si>
  <si>
    <t>Laba/Rugi (Setelah Pajak)</t>
  </si>
  <si>
    <t>PT. Keling Sembako Jaya</t>
  </si>
  <si>
    <t xml:space="preserve">Laporan Laba Rugi </t>
  </si>
  <si>
    <t>Biaya Iklan</t>
  </si>
  <si>
    <t>Kategori</t>
  </si>
  <si>
    <t>Jumlah (Rp)</t>
  </si>
  <si>
    <t>Arus Kas dari Aktivitas Operasi</t>
  </si>
  <si>
    <t>Laba/(Rugi) Bersih Sebelum Pajak</t>
  </si>
  <si>
    <t>Penyesuaian untuk Pos Non-Kas</t>
  </si>
  <si>
    <t>Net Cash Flow dari Aktivitas Operasi</t>
  </si>
  <si>
    <t>Arus Kas dari Aktivitas Investasi</t>
  </si>
  <si>
    <t>Net Cash Flow dari Aktivitas Investasi</t>
  </si>
  <si>
    <t>Arus Kas dari Aktivitas Pendanaan</t>
  </si>
  <si>
    <t>Net Cash Flow dari Aktivitas Pendanaan</t>
  </si>
  <si>
    <t>Rekapitulasi Arus Kas</t>
  </si>
  <si>
    <t>Kenaikan/(Penurunan) Bersih Kas</t>
  </si>
  <si>
    <t>Saldo Kas Awal Periode</t>
  </si>
  <si>
    <t>Saldo Kas Akhir Periode</t>
  </si>
  <si>
    <t>Laporan Arus Kas</t>
  </si>
  <si>
    <t>Sedang Dikirim</t>
  </si>
  <si>
    <t>Nominal</t>
  </si>
  <si>
    <t>Pembayaran Hutang</t>
  </si>
  <si>
    <t>Dalam Proses</t>
  </si>
  <si>
    <t>Pesanan Selesai</t>
  </si>
  <si>
    <t>Periode Febuari 2025</t>
  </si>
  <si>
    <t>Discont</t>
  </si>
  <si>
    <t>Harga Discont</t>
  </si>
  <si>
    <t>Selisih Dicount</t>
  </si>
  <si>
    <t>Discount</t>
  </si>
  <si>
    <t>Harga Discount</t>
  </si>
  <si>
    <t>Harga Jual</t>
  </si>
  <si>
    <t>Selisih Discount</t>
  </si>
  <si>
    <t>Keuntungan Tanpa discount</t>
  </si>
  <si>
    <t>Keuntungan Dengan discount</t>
  </si>
  <si>
    <t>Iklan Top Ads</t>
  </si>
  <si>
    <t>Iklan</t>
  </si>
  <si>
    <t>February</t>
  </si>
  <si>
    <t xml:space="preserve">LUFFMAN PUTIH </t>
  </si>
  <si>
    <t>Nama Pembeli</t>
  </si>
  <si>
    <t>Alip Nurfuat</t>
  </si>
  <si>
    <t>ESSE DB WINE</t>
  </si>
  <si>
    <t>MAGNATE DB IMPACT MAGIC</t>
  </si>
  <si>
    <t>Hutang</t>
  </si>
  <si>
    <t>Pembayaran</t>
  </si>
  <si>
    <t>Rekap 01-03</t>
  </si>
  <si>
    <t>Hutang Pemebelian Barang</t>
  </si>
  <si>
    <t>Belum Lunas</t>
  </si>
  <si>
    <t>Pembayaran Batch 1 Rekap 01 - 03 Febuari</t>
  </si>
  <si>
    <t>Status bayar</t>
  </si>
  <si>
    <t>Terbayar</t>
  </si>
  <si>
    <t>beban pembelian gagal</t>
  </si>
  <si>
    <t>Operasional</t>
  </si>
  <si>
    <t>Adm.Bank</t>
  </si>
  <si>
    <t>LUFFMAN MERAH</t>
  </si>
  <si>
    <t>Dilan adi putra</t>
  </si>
  <si>
    <t>Miftah</t>
  </si>
  <si>
    <t>HD Emas</t>
  </si>
  <si>
    <t>HD Merah</t>
  </si>
  <si>
    <t>HG HIJAU</t>
  </si>
  <si>
    <t>HG KUNING</t>
  </si>
  <si>
    <t>HG MERAH</t>
  </si>
  <si>
    <t>HMIND</t>
  </si>
  <si>
    <t>Luffman Mild</t>
  </si>
  <si>
    <t xml:space="preserve">Luffman nano </t>
  </si>
  <si>
    <t>M4 HIJAU</t>
  </si>
  <si>
    <t>M4 MERAH</t>
  </si>
  <si>
    <t>P. KING SIZE FULL FLAVOR</t>
  </si>
  <si>
    <t>P. KING SIZE ICE BLAST</t>
  </si>
  <si>
    <t>P. KING SIZE MENTOL</t>
  </si>
  <si>
    <t>P. KING SIZE ROYAL BLUE</t>
  </si>
  <si>
    <t>SMITH</t>
  </si>
  <si>
    <t>SSB</t>
  </si>
  <si>
    <t>DART HITAM/SILVER</t>
  </si>
  <si>
    <t>DART MERAH</t>
  </si>
  <si>
    <t>ESSE DB ORANGE</t>
  </si>
  <si>
    <t>ESSE GOLD</t>
  </si>
  <si>
    <t>ESSE LIGHT</t>
  </si>
  <si>
    <t>MAGNATE DB IMPACT MENTHOL</t>
  </si>
  <si>
    <t>MAGNATE ICE SWITCH</t>
  </si>
  <si>
    <t>MAGNATE SS DB STAWBERRY MENTHOL</t>
  </si>
  <si>
    <t>MAGNATE SS SNOWBRAST</t>
  </si>
  <si>
    <t>MANCASTER DOUBLE KLIK</t>
  </si>
  <si>
    <t>MOND APLE</t>
  </si>
  <si>
    <t>MOND STAWBERRY</t>
  </si>
  <si>
    <t>P. QN ORANGE</t>
  </si>
  <si>
    <t>P. SS DOUBLE GRAPE</t>
  </si>
  <si>
    <t>P. SS DOUBLE ORANGE</t>
  </si>
  <si>
    <t>P.QN ICE MANGGO</t>
  </si>
  <si>
    <t>P KZ AQUA BLUE</t>
  </si>
  <si>
    <t>Widi Adianto</t>
  </si>
  <si>
    <t>Pembayaran Batch 2 Rekap 01 - 03 Febuari</t>
  </si>
  <si>
    <t>Urutan Transfer</t>
  </si>
  <si>
    <t>Beban Bebas Ongkir</t>
  </si>
  <si>
    <t>Pendapatan Bersih</t>
  </si>
  <si>
    <t>Andra ynui</t>
  </si>
  <si>
    <t>Gagal Kirim</t>
  </si>
  <si>
    <t>Octavian</t>
  </si>
  <si>
    <t>Bayar azis</t>
  </si>
  <si>
    <t>Periode Maret  2025</t>
  </si>
  <si>
    <t>Combo box</t>
  </si>
  <si>
    <t>March</t>
  </si>
  <si>
    <t>Ade Eka Pramana </t>
  </si>
  <si>
    <t>lilis nur fatimah (</t>
  </si>
  <si>
    <t>Andi</t>
  </si>
  <si>
    <t>Miftah </t>
  </si>
  <si>
    <t>Mira</t>
  </si>
  <si>
    <t>Bayar Hutang</t>
  </si>
  <si>
    <t>Di pinjam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</si>
</sst>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rial"/>
      <family val="2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5">
    <xf numFmtId="0" fontId="0" fillId="0" borderId="0" xfId="0"/>
    <xf numFmtId="43" fontId="0" fillId="0" borderId="0" xfId="0" applyNumberFormat="1"/>
    <xf numFmtId="43" fontId="0" fillId="0" borderId="0" xfId="1" applyFont="1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4" fontId="0" fillId="0" borderId="0" xfId="0" applyNumberFormat="1"/>
    <xf numFmtId="0" fontId="3" fillId="0" borderId="6" xfId="0" applyFont="1" applyBorder="1"/>
    <xf numFmtId="0" fontId="5" fillId="0" borderId="6" xfId="0" applyFont="1" applyBorder="1"/>
    <xf numFmtId="43" fontId="5" fillId="0" borderId="6" xfId="1" applyFont="1" applyBorder="1" applyAlignment="1">
      <alignment horizontal="right"/>
    </xf>
    <xf numFmtId="43" fontId="5" fillId="0" borderId="6" xfId="1" applyFont="1" applyBorder="1"/>
    <xf numFmtId="43" fontId="3" fillId="0" borderId="6" xfId="1" applyFont="1" applyBorder="1" applyAlignment="1">
      <alignment horizontal="right"/>
    </xf>
    <xf numFmtId="0" fontId="0" fillId="0" borderId="1" xfId="0" applyBorder="1"/>
    <xf numFmtId="0" fontId="6" fillId="0" borderId="1" xfId="0" applyFont="1" applyBorder="1" applyAlignment="1">
      <alignment horizontal="center" vertical="top"/>
    </xf>
    <xf numFmtId="43" fontId="0" fillId="0" borderId="1" xfId="1" applyFont="1" applyBorder="1"/>
    <xf numFmtId="0" fontId="7" fillId="4" borderId="0" xfId="0" applyFont="1" applyFill="1"/>
    <xf numFmtId="1" fontId="0" fillId="0" borderId="0" xfId="0" applyNumberFormat="1"/>
    <xf numFmtId="1" fontId="7" fillId="4" borderId="0" xfId="0" applyNumberFormat="1" applyFont="1" applyFill="1"/>
    <xf numFmtId="0" fontId="2" fillId="2" borderId="7" xfId="0" applyFont="1" applyFill="1" applyBorder="1" applyAlignment="1">
      <alignment horizontal="center" vertical="center"/>
    </xf>
    <xf numFmtId="0" fontId="8" fillId="6" borderId="0" xfId="0" applyFont="1" applyFill="1"/>
    <xf numFmtId="43" fontId="7" fillId="4" borderId="0" xfId="1" applyFont="1" applyFill="1"/>
    <xf numFmtId="0" fontId="3" fillId="3" borderId="2" xfId="0" applyFont="1" applyFill="1" applyBorder="1" applyAlignment="1">
      <alignment horizontal="center"/>
    </xf>
    <xf numFmtId="0" fontId="4" fillId="3" borderId="3" xfId="0" applyFont="1" applyFill="1" applyBorder="1"/>
    <xf numFmtId="0" fontId="3" fillId="3" borderId="4" xfId="0" applyFont="1" applyFill="1" applyBorder="1" applyAlignment="1">
      <alignment horizontal="center"/>
    </xf>
    <xf numFmtId="0" fontId="4" fillId="3" borderId="5" xfId="0" applyFont="1" applyFill="1" applyBorder="1"/>
    <xf numFmtId="0" fontId="6" fillId="5" borderId="0" xfId="0" applyFont="1" applyFill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592B7-2D23-47DB-B0BF-751A641C3A28}">
  <sheetPr codeName="Sheet1"/>
  <dimension ref="A1:K38"/>
  <sheetViews>
    <sheetView tabSelected="1" zoomScale="115" zoomScaleNormal="115" workbookViewId="0">
      <pane ySplit="1" topLeftCell="A11" activePane="bottomLeft" state="frozen"/>
      <selection pane="bottomLeft" activeCell="C35" sqref="C35"/>
    </sheetView>
  </sheetViews>
  <sheetFormatPr defaultRowHeight="15" x14ac:dyDescent="0.25"/>
  <cols>
    <col min="1" max="1" width="36.85546875" bestFit="1" customWidth="1"/>
    <col min="2" max="2" width="15.140625" bestFit="1" customWidth="1"/>
    <col min="3" max="3" width="14.85546875" bestFit="1" customWidth="1"/>
    <col min="4" max="4" width="14.5703125" bestFit="1" customWidth="1"/>
    <col min="5" max="5" width="16.85546875" bestFit="1" customWidth="1"/>
    <col min="6" max="6" width="27.5703125" bestFit="1" customWidth="1"/>
    <col min="7" max="7" width="27.5703125" customWidth="1"/>
    <col min="8" max="8" width="16.85546875" bestFit="1" customWidth="1"/>
  </cols>
  <sheetData>
    <row r="1" spans="1:11" ht="31.5" x14ac:dyDescent="0.25">
      <c r="A1" s="3" t="s">
        <v>11</v>
      </c>
      <c r="B1" s="3" t="s">
        <v>12</v>
      </c>
      <c r="C1" s="3" t="s">
        <v>13</v>
      </c>
      <c r="D1" s="4" t="s">
        <v>14</v>
      </c>
      <c r="E1" s="17" t="s">
        <v>72</v>
      </c>
      <c r="F1" s="17" t="s">
        <v>75</v>
      </c>
      <c r="G1" s="17" t="s">
        <v>76</v>
      </c>
      <c r="H1" s="17" t="s">
        <v>74</v>
      </c>
    </row>
    <row r="2" spans="1:11" x14ac:dyDescent="0.25">
      <c r="A2" t="s">
        <v>115</v>
      </c>
      <c r="B2" s="2">
        <v>3850000</v>
      </c>
      <c r="C2" s="2">
        <v>77000</v>
      </c>
      <c r="D2" s="2">
        <v>95000</v>
      </c>
      <c r="E2" s="1">
        <f>IF(OR(ISBLANK(D2), ISBLANK($K$2), $K$2=0), 0, D2 - (D2 * $K$2 / 100))</f>
        <v>90250</v>
      </c>
      <c r="F2" s="1">
        <f t="shared" ref="F2:F26" si="0">C2-D2</f>
        <v>-18000</v>
      </c>
      <c r="G2" s="1">
        <f t="shared" ref="G2:G26" si="1">C2-E2</f>
        <v>-13250</v>
      </c>
      <c r="H2" s="1">
        <f>E2-D2</f>
        <v>-4750</v>
      </c>
      <c r="J2" t="s">
        <v>71</v>
      </c>
      <c r="K2">
        <v>5</v>
      </c>
    </row>
    <row r="3" spans="1:11" x14ac:dyDescent="0.25">
      <c r="A3" t="s">
        <v>116</v>
      </c>
      <c r="B3" s="2">
        <v>3850000</v>
      </c>
      <c r="C3" s="2">
        <v>77000</v>
      </c>
      <c r="D3" s="2">
        <v>95000</v>
      </c>
      <c r="E3" s="1">
        <f t="shared" ref="E3:E26" si="2">IF(OR(ISBLANK(D3), ISBLANK($K$2), $K$2=0), 0, D3 - (D3 * $K$2 / 100))</f>
        <v>90250</v>
      </c>
      <c r="F3" s="1">
        <f t="shared" si="0"/>
        <v>-18000</v>
      </c>
      <c r="G3" s="1">
        <f t="shared" si="1"/>
        <v>-13250</v>
      </c>
      <c r="H3" s="1">
        <f t="shared" ref="H3:H26" si="3">E3-D3</f>
        <v>-4750</v>
      </c>
    </row>
    <row r="4" spans="1:11" x14ac:dyDescent="0.25">
      <c r="A4" t="s">
        <v>117</v>
      </c>
      <c r="B4" s="2">
        <v>10500000</v>
      </c>
      <c r="C4" s="2">
        <v>210000</v>
      </c>
      <c r="D4" s="2">
        <v>250000</v>
      </c>
      <c r="E4" s="1">
        <f t="shared" si="2"/>
        <v>237500</v>
      </c>
      <c r="F4" s="1">
        <f t="shared" si="0"/>
        <v>-40000</v>
      </c>
      <c r="G4" s="1">
        <f t="shared" si="1"/>
        <v>-27500</v>
      </c>
      <c r="H4" s="1">
        <f t="shared" si="3"/>
        <v>-12500</v>
      </c>
    </row>
    <row r="5" spans="1:11" x14ac:dyDescent="0.25">
      <c r="A5" t="s">
        <v>83</v>
      </c>
      <c r="B5" s="2">
        <v>10600000</v>
      </c>
      <c r="C5" s="2">
        <v>212000</v>
      </c>
      <c r="D5" s="2">
        <v>250000</v>
      </c>
      <c r="E5" s="1">
        <f t="shared" si="2"/>
        <v>237500</v>
      </c>
      <c r="F5" s="1">
        <f t="shared" si="0"/>
        <v>-38000</v>
      </c>
      <c r="G5" s="1">
        <f t="shared" si="1"/>
        <v>-25500</v>
      </c>
      <c r="H5" s="1">
        <f t="shared" si="3"/>
        <v>-12500</v>
      </c>
    </row>
    <row r="6" spans="1:11" x14ac:dyDescent="0.25">
      <c r="A6" t="s">
        <v>118</v>
      </c>
      <c r="B6" s="2">
        <v>8750000</v>
      </c>
      <c r="C6" s="2">
        <v>175000</v>
      </c>
      <c r="D6" s="2">
        <v>205000</v>
      </c>
      <c r="E6" s="1">
        <f t="shared" si="2"/>
        <v>194750</v>
      </c>
      <c r="F6" s="1">
        <f t="shared" si="0"/>
        <v>-30000</v>
      </c>
      <c r="G6" s="1">
        <f t="shared" si="1"/>
        <v>-19750</v>
      </c>
      <c r="H6" s="1">
        <f t="shared" si="3"/>
        <v>-10250</v>
      </c>
    </row>
    <row r="7" spans="1:11" x14ac:dyDescent="0.25">
      <c r="A7" t="s">
        <v>119</v>
      </c>
      <c r="B7" s="2">
        <v>8500000</v>
      </c>
      <c r="C7" s="2">
        <v>170000</v>
      </c>
      <c r="D7" s="2">
        <v>205000</v>
      </c>
      <c r="E7" s="1">
        <f t="shared" si="2"/>
        <v>194750</v>
      </c>
      <c r="F7" s="1">
        <f t="shared" si="0"/>
        <v>-35000</v>
      </c>
      <c r="G7" s="1">
        <f t="shared" si="1"/>
        <v>-24750</v>
      </c>
      <c r="H7" s="1">
        <f t="shared" si="3"/>
        <v>-10250</v>
      </c>
    </row>
    <row r="8" spans="1:11" x14ac:dyDescent="0.25">
      <c r="A8" t="s">
        <v>99</v>
      </c>
      <c r="B8" s="2">
        <v>98000</v>
      </c>
      <c r="C8" s="2">
        <v>98000</v>
      </c>
      <c r="D8" s="2">
        <v>140000</v>
      </c>
      <c r="E8" s="1">
        <f t="shared" si="2"/>
        <v>133000</v>
      </c>
      <c r="F8" s="1">
        <f t="shared" si="0"/>
        <v>-42000</v>
      </c>
      <c r="G8" s="1">
        <f t="shared" si="1"/>
        <v>-35000</v>
      </c>
      <c r="H8" s="1">
        <f t="shared" si="3"/>
        <v>-7000</v>
      </c>
    </row>
    <row r="9" spans="1:11" x14ac:dyDescent="0.25">
      <c r="A9" t="s">
        <v>100</v>
      </c>
      <c r="B9" s="2">
        <v>98000</v>
      </c>
      <c r="C9" s="2">
        <v>98000</v>
      </c>
      <c r="D9" s="2">
        <v>140000</v>
      </c>
      <c r="E9" s="1">
        <f t="shared" si="2"/>
        <v>133000</v>
      </c>
      <c r="F9" s="1">
        <f t="shared" si="0"/>
        <v>-42000</v>
      </c>
      <c r="G9" s="1">
        <f t="shared" si="1"/>
        <v>-35000</v>
      </c>
      <c r="H9" s="1">
        <f t="shared" si="3"/>
        <v>-7000</v>
      </c>
    </row>
    <row r="10" spans="1:11" x14ac:dyDescent="0.25">
      <c r="A10" t="s">
        <v>101</v>
      </c>
      <c r="B10" s="2">
        <v>3850000</v>
      </c>
      <c r="C10" s="2">
        <v>77000</v>
      </c>
      <c r="D10" s="2">
        <v>95000</v>
      </c>
      <c r="E10" s="1">
        <f t="shared" si="2"/>
        <v>90250</v>
      </c>
      <c r="F10" s="1">
        <f t="shared" si="0"/>
        <v>-18000</v>
      </c>
      <c r="G10" s="1">
        <f t="shared" si="1"/>
        <v>-13250</v>
      </c>
      <c r="H10" s="1">
        <f t="shared" si="3"/>
        <v>-4750</v>
      </c>
    </row>
    <row r="11" spans="1:11" x14ac:dyDescent="0.25">
      <c r="A11" t="s">
        <v>102</v>
      </c>
      <c r="B11" s="2">
        <v>3850000</v>
      </c>
      <c r="C11" s="2">
        <v>77000</v>
      </c>
      <c r="D11" s="2">
        <v>95000</v>
      </c>
      <c r="E11" s="1">
        <f t="shared" si="2"/>
        <v>90250</v>
      </c>
      <c r="F11" s="1">
        <f t="shared" si="0"/>
        <v>-18000</v>
      </c>
      <c r="G11" s="1">
        <f t="shared" si="1"/>
        <v>-13250</v>
      </c>
      <c r="H11" s="1">
        <f t="shared" si="3"/>
        <v>-4750</v>
      </c>
    </row>
    <row r="12" spans="1:11" x14ac:dyDescent="0.25">
      <c r="A12" t="s">
        <v>103</v>
      </c>
      <c r="B12" s="2">
        <v>3850000</v>
      </c>
      <c r="C12" s="2">
        <v>77000</v>
      </c>
      <c r="D12" s="2">
        <v>95000</v>
      </c>
      <c r="E12" s="1">
        <f t="shared" si="2"/>
        <v>90250</v>
      </c>
      <c r="F12" s="1">
        <f t="shared" si="0"/>
        <v>-18000</v>
      </c>
      <c r="G12" s="1">
        <f t="shared" si="1"/>
        <v>-13250</v>
      </c>
      <c r="H12" s="1">
        <f t="shared" si="3"/>
        <v>-4750</v>
      </c>
    </row>
    <row r="13" spans="1:11" x14ac:dyDescent="0.25">
      <c r="A13" t="s">
        <v>104</v>
      </c>
      <c r="B13" s="2">
        <v>3400000</v>
      </c>
      <c r="C13" s="2">
        <v>68000</v>
      </c>
      <c r="D13" s="2">
        <v>100000</v>
      </c>
      <c r="E13" s="1">
        <f t="shared" si="2"/>
        <v>95000</v>
      </c>
      <c r="F13" s="1">
        <f t="shared" si="0"/>
        <v>-32000</v>
      </c>
      <c r="G13" s="1">
        <f t="shared" si="1"/>
        <v>-27000</v>
      </c>
      <c r="H13" s="1">
        <f t="shared" si="3"/>
        <v>-5000</v>
      </c>
    </row>
    <row r="14" spans="1:11" x14ac:dyDescent="0.25">
      <c r="A14" t="s">
        <v>96</v>
      </c>
      <c r="B14" s="2">
        <v>3850000</v>
      </c>
      <c r="C14" s="2">
        <v>77000</v>
      </c>
      <c r="D14" s="2">
        <v>95000</v>
      </c>
      <c r="E14" s="1">
        <f t="shared" si="2"/>
        <v>90250</v>
      </c>
      <c r="F14" s="1">
        <f t="shared" si="0"/>
        <v>-18000</v>
      </c>
      <c r="G14" s="1">
        <f t="shared" si="1"/>
        <v>-13250</v>
      </c>
      <c r="H14" s="1">
        <f t="shared" si="3"/>
        <v>-4750</v>
      </c>
    </row>
    <row r="15" spans="1:11" x14ac:dyDescent="0.25">
      <c r="A15" t="s">
        <v>105</v>
      </c>
      <c r="B15" s="2">
        <v>6250000</v>
      </c>
      <c r="C15" s="2">
        <v>125000</v>
      </c>
      <c r="D15" s="2">
        <v>150000</v>
      </c>
      <c r="E15" s="1">
        <f t="shared" si="2"/>
        <v>142500</v>
      </c>
      <c r="F15" s="1">
        <f t="shared" si="0"/>
        <v>-25000</v>
      </c>
      <c r="G15" s="1">
        <f t="shared" si="1"/>
        <v>-17500</v>
      </c>
      <c r="H15" s="1">
        <f t="shared" si="3"/>
        <v>-7500</v>
      </c>
    </row>
    <row r="16" spans="1:11" x14ac:dyDescent="0.25">
      <c r="A16" t="s">
        <v>106</v>
      </c>
      <c r="B16" s="2">
        <v>7500000</v>
      </c>
      <c r="C16" s="2">
        <v>150000</v>
      </c>
      <c r="D16" s="2">
        <v>185000</v>
      </c>
      <c r="E16" s="1">
        <f t="shared" si="2"/>
        <v>175750</v>
      </c>
      <c r="F16" s="1">
        <f t="shared" si="0"/>
        <v>-35000</v>
      </c>
      <c r="G16" s="1">
        <f t="shared" si="1"/>
        <v>-25750</v>
      </c>
      <c r="H16" s="1">
        <f t="shared" si="3"/>
        <v>-9250</v>
      </c>
    </row>
    <row r="17" spans="1:8" x14ac:dyDescent="0.25">
      <c r="A17" t="s">
        <v>80</v>
      </c>
      <c r="B17" s="2">
        <v>3850000</v>
      </c>
      <c r="C17" s="2">
        <v>77000</v>
      </c>
      <c r="D17" s="2">
        <v>95000</v>
      </c>
      <c r="E17" s="1">
        <f t="shared" si="2"/>
        <v>90250</v>
      </c>
      <c r="F17" s="1">
        <f t="shared" si="0"/>
        <v>-18000</v>
      </c>
      <c r="G17" s="1">
        <f t="shared" si="1"/>
        <v>-13250</v>
      </c>
      <c r="H17" s="1">
        <f t="shared" si="3"/>
        <v>-4750</v>
      </c>
    </row>
    <row r="18" spans="1:8" x14ac:dyDescent="0.25">
      <c r="A18" t="s">
        <v>107</v>
      </c>
      <c r="B18" s="2">
        <v>3850000</v>
      </c>
      <c r="C18" s="2">
        <v>77000</v>
      </c>
      <c r="D18" s="2">
        <v>95000</v>
      </c>
      <c r="E18" s="1">
        <f t="shared" si="2"/>
        <v>90250</v>
      </c>
      <c r="F18" s="1">
        <f t="shared" si="0"/>
        <v>-18000</v>
      </c>
      <c r="G18" s="1">
        <f t="shared" si="1"/>
        <v>-13250</v>
      </c>
      <c r="H18" s="1">
        <f t="shared" si="3"/>
        <v>-4750</v>
      </c>
    </row>
    <row r="19" spans="1:8" x14ac:dyDescent="0.25">
      <c r="A19" t="s">
        <v>108</v>
      </c>
      <c r="B19" s="2">
        <v>3850000</v>
      </c>
      <c r="C19" s="2">
        <v>77000</v>
      </c>
      <c r="D19" s="2">
        <v>95000</v>
      </c>
      <c r="E19" s="1">
        <f t="shared" si="2"/>
        <v>90250</v>
      </c>
      <c r="F19" s="1">
        <f t="shared" si="0"/>
        <v>-18000</v>
      </c>
      <c r="G19" s="1">
        <f t="shared" si="1"/>
        <v>-13250</v>
      </c>
      <c r="H19" s="1">
        <f t="shared" si="3"/>
        <v>-4750</v>
      </c>
    </row>
    <row r="20" spans="1:8" x14ac:dyDescent="0.25">
      <c r="A20" t="s">
        <v>120</v>
      </c>
      <c r="B20" s="2">
        <v>7250000</v>
      </c>
      <c r="C20" s="2">
        <v>145000</v>
      </c>
      <c r="D20" s="2">
        <v>180000</v>
      </c>
      <c r="E20" s="1">
        <f t="shared" si="2"/>
        <v>171000</v>
      </c>
      <c r="F20" s="1">
        <f t="shared" si="0"/>
        <v>-35000</v>
      </c>
      <c r="G20" s="1">
        <f t="shared" si="1"/>
        <v>-26000</v>
      </c>
      <c r="H20" s="1">
        <f t="shared" si="3"/>
        <v>-9000</v>
      </c>
    </row>
    <row r="21" spans="1:8" x14ac:dyDescent="0.25">
      <c r="A21" t="s">
        <v>121</v>
      </c>
      <c r="B21" s="2">
        <v>7250000</v>
      </c>
      <c r="C21" s="2">
        <v>145000</v>
      </c>
      <c r="D21" s="2">
        <v>180000</v>
      </c>
      <c r="E21" s="1">
        <f t="shared" si="2"/>
        <v>171000</v>
      </c>
      <c r="F21" s="1">
        <f t="shared" si="0"/>
        <v>-35000</v>
      </c>
      <c r="G21" s="1">
        <f t="shared" si="1"/>
        <v>-26000</v>
      </c>
      <c r="H21" s="1">
        <f t="shared" si="3"/>
        <v>-9000</v>
      </c>
    </row>
    <row r="22" spans="1:8" x14ac:dyDescent="0.25">
      <c r="A22" t="s">
        <v>122</v>
      </c>
      <c r="B22" s="2">
        <v>7100000</v>
      </c>
      <c r="C22" s="2">
        <v>142000</v>
      </c>
      <c r="D22" s="2">
        <v>180000</v>
      </c>
      <c r="E22" s="1">
        <f t="shared" si="2"/>
        <v>171000</v>
      </c>
      <c r="F22" s="1">
        <f t="shared" si="0"/>
        <v>-38000</v>
      </c>
      <c r="G22" s="1">
        <f t="shared" si="1"/>
        <v>-29000</v>
      </c>
      <c r="H22" s="1">
        <f t="shared" si="3"/>
        <v>-9000</v>
      </c>
    </row>
    <row r="23" spans="1:8" x14ac:dyDescent="0.25">
      <c r="A23" t="s">
        <v>123</v>
      </c>
      <c r="B23" s="2">
        <v>7000000</v>
      </c>
      <c r="C23" s="2">
        <v>140000</v>
      </c>
      <c r="D23" s="2">
        <v>180000</v>
      </c>
      <c r="E23" s="1">
        <f t="shared" si="2"/>
        <v>171000</v>
      </c>
      <c r="F23" s="1">
        <f t="shared" si="0"/>
        <v>-40000</v>
      </c>
      <c r="G23" s="1">
        <f t="shared" si="1"/>
        <v>-31000</v>
      </c>
      <c r="H23" s="1">
        <f t="shared" si="3"/>
        <v>-9000</v>
      </c>
    </row>
    <row r="24" spans="1:8" x14ac:dyDescent="0.25">
      <c r="A24" t="s">
        <v>124</v>
      </c>
      <c r="B24" s="2">
        <v>7750000</v>
      </c>
      <c r="C24" s="2">
        <v>155000</v>
      </c>
      <c r="D24" s="2">
        <v>185000</v>
      </c>
      <c r="E24" s="1">
        <f t="shared" si="2"/>
        <v>175750</v>
      </c>
      <c r="F24" s="1">
        <f t="shared" si="0"/>
        <v>-30000</v>
      </c>
      <c r="G24" s="1">
        <f t="shared" si="1"/>
        <v>-20750</v>
      </c>
      <c r="H24" s="1">
        <f t="shared" si="3"/>
        <v>-9250</v>
      </c>
    </row>
    <row r="25" spans="1:8" x14ac:dyDescent="0.25">
      <c r="A25" t="s">
        <v>125</v>
      </c>
      <c r="B25" s="2">
        <v>6250000</v>
      </c>
      <c r="C25" s="2">
        <v>125000</v>
      </c>
      <c r="D25" s="2">
        <v>155000</v>
      </c>
      <c r="E25" s="1">
        <f t="shared" si="2"/>
        <v>147250</v>
      </c>
      <c r="F25" s="1">
        <f t="shared" si="0"/>
        <v>-30000</v>
      </c>
      <c r="G25" s="1">
        <f t="shared" si="1"/>
        <v>-22250</v>
      </c>
      <c r="H25" s="1">
        <f t="shared" si="3"/>
        <v>-7750</v>
      </c>
    </row>
    <row r="26" spans="1:8" x14ac:dyDescent="0.25">
      <c r="A26" t="s">
        <v>126</v>
      </c>
      <c r="B26" s="2">
        <v>6250000</v>
      </c>
      <c r="C26" s="2">
        <v>125000</v>
      </c>
      <c r="D26" s="2">
        <v>155000</v>
      </c>
      <c r="E26" s="1">
        <f t="shared" si="2"/>
        <v>147250</v>
      </c>
      <c r="F26" s="1">
        <f t="shared" si="0"/>
        <v>-30000</v>
      </c>
      <c r="G26" s="1">
        <f t="shared" si="1"/>
        <v>-22250</v>
      </c>
      <c r="H26" s="1">
        <f t="shared" si="3"/>
        <v>-7750</v>
      </c>
    </row>
    <row r="27" spans="1:8" x14ac:dyDescent="0.25">
      <c r="A27" t="s">
        <v>131</v>
      </c>
      <c r="B27" s="2">
        <v>7250000</v>
      </c>
      <c r="C27" s="2">
        <v>145000</v>
      </c>
      <c r="D27" s="2">
        <v>180000</v>
      </c>
      <c r="E27" s="1">
        <f t="shared" ref="E27:E38" si="4">IF(OR(ISBLANK(D27), ISBLANK($K$2), $K$2=0), 0, D27 - (D27 * $K$2 / 100))</f>
        <v>171000</v>
      </c>
      <c r="F27" s="1">
        <f t="shared" ref="F27:F38" si="5">C27-D27</f>
        <v>-35000</v>
      </c>
      <c r="G27" s="1">
        <f t="shared" ref="G27:G38" si="6">C27-E27</f>
        <v>-26000</v>
      </c>
      <c r="H27" s="1">
        <f t="shared" ref="H27:H38" si="7">E27-D27</f>
        <v>-9000</v>
      </c>
    </row>
    <row r="28" spans="1:8" x14ac:dyDescent="0.25">
      <c r="A28" t="s">
        <v>127</v>
      </c>
      <c r="B28" s="2">
        <v>7250000</v>
      </c>
      <c r="C28" s="2">
        <v>145000</v>
      </c>
      <c r="D28" s="2">
        <v>180000</v>
      </c>
      <c r="E28" s="1">
        <f t="shared" si="4"/>
        <v>171000</v>
      </c>
      <c r="F28" s="1">
        <f t="shared" si="5"/>
        <v>-35000</v>
      </c>
      <c r="G28" s="1">
        <f t="shared" si="6"/>
        <v>-26000</v>
      </c>
      <c r="H28" s="1">
        <f t="shared" si="7"/>
        <v>-9000</v>
      </c>
    </row>
    <row r="29" spans="1:8" x14ac:dyDescent="0.25">
      <c r="A29" t="s">
        <v>128</v>
      </c>
      <c r="B29" s="2">
        <v>7250000</v>
      </c>
      <c r="C29" s="2">
        <v>145000</v>
      </c>
      <c r="D29" s="2">
        <v>180000</v>
      </c>
      <c r="E29" s="1">
        <f t="shared" si="4"/>
        <v>171000</v>
      </c>
      <c r="F29" s="1">
        <f t="shared" si="5"/>
        <v>-35000</v>
      </c>
      <c r="G29" s="1">
        <f t="shared" si="6"/>
        <v>-26000</v>
      </c>
      <c r="H29" s="1">
        <f t="shared" si="7"/>
        <v>-9000</v>
      </c>
    </row>
    <row r="30" spans="1:8" x14ac:dyDescent="0.25">
      <c r="A30" t="s">
        <v>129</v>
      </c>
      <c r="B30" s="2">
        <v>7250000</v>
      </c>
      <c r="C30" s="2">
        <v>145000</v>
      </c>
      <c r="D30" s="2">
        <v>180000</v>
      </c>
      <c r="E30" s="1">
        <f t="shared" si="4"/>
        <v>171000</v>
      </c>
      <c r="F30" s="1">
        <f t="shared" si="5"/>
        <v>-35000</v>
      </c>
      <c r="G30" s="1">
        <f t="shared" si="6"/>
        <v>-26000</v>
      </c>
      <c r="H30" s="1">
        <f t="shared" si="7"/>
        <v>-9000</v>
      </c>
    </row>
    <row r="31" spans="1:8" x14ac:dyDescent="0.25">
      <c r="A31" t="s">
        <v>130</v>
      </c>
      <c r="B31" s="2">
        <v>7250000</v>
      </c>
      <c r="C31" s="2">
        <v>145000</v>
      </c>
      <c r="D31" s="2">
        <v>180000</v>
      </c>
      <c r="E31" s="1">
        <f t="shared" si="4"/>
        <v>171000</v>
      </c>
      <c r="F31" s="1">
        <f t="shared" si="5"/>
        <v>-35000</v>
      </c>
      <c r="G31" s="1">
        <f t="shared" si="6"/>
        <v>-26000</v>
      </c>
      <c r="H31" s="1">
        <f t="shared" si="7"/>
        <v>-9000</v>
      </c>
    </row>
    <row r="32" spans="1:8" x14ac:dyDescent="0.25">
      <c r="A32" t="s">
        <v>109</v>
      </c>
      <c r="B32" s="2">
        <v>7500000</v>
      </c>
      <c r="C32" s="2">
        <v>150000</v>
      </c>
      <c r="D32" s="2">
        <v>185000</v>
      </c>
      <c r="E32" s="1">
        <f t="shared" si="4"/>
        <v>175750</v>
      </c>
      <c r="F32" s="1">
        <f t="shared" si="5"/>
        <v>-35000</v>
      </c>
      <c r="G32" s="1">
        <f t="shared" si="6"/>
        <v>-25750</v>
      </c>
      <c r="H32" s="1">
        <f t="shared" si="7"/>
        <v>-9250</v>
      </c>
    </row>
    <row r="33" spans="1:8" x14ac:dyDescent="0.25">
      <c r="A33" t="s">
        <v>110</v>
      </c>
      <c r="B33" s="2">
        <v>7500000</v>
      </c>
      <c r="C33" s="2">
        <v>150000</v>
      </c>
      <c r="D33" s="2">
        <v>185000</v>
      </c>
      <c r="E33" s="1">
        <f t="shared" si="4"/>
        <v>175750</v>
      </c>
      <c r="F33" s="1">
        <f t="shared" si="5"/>
        <v>-35000</v>
      </c>
      <c r="G33" s="1">
        <f t="shared" si="6"/>
        <v>-25750</v>
      </c>
      <c r="H33" s="1">
        <f t="shared" si="7"/>
        <v>-9250</v>
      </c>
    </row>
    <row r="34" spans="1:8" x14ac:dyDescent="0.25">
      <c r="A34" t="s">
        <v>111</v>
      </c>
      <c r="B34" s="2">
        <v>7500000</v>
      </c>
      <c r="C34" s="2">
        <v>150000</v>
      </c>
      <c r="D34" s="2">
        <v>185000</v>
      </c>
      <c r="E34" s="1">
        <f t="shared" si="4"/>
        <v>175750</v>
      </c>
      <c r="F34" s="1">
        <f t="shared" si="5"/>
        <v>-35000</v>
      </c>
      <c r="G34" s="1">
        <f t="shared" si="6"/>
        <v>-25750</v>
      </c>
      <c r="H34" s="1">
        <f t="shared" si="7"/>
        <v>-9250</v>
      </c>
    </row>
    <row r="35" spans="1:8" x14ac:dyDescent="0.25">
      <c r="A35" t="s">
        <v>112</v>
      </c>
      <c r="B35" s="2">
        <v>7500000</v>
      </c>
      <c r="C35" s="2">
        <v>150000</v>
      </c>
      <c r="D35" s="2">
        <v>185000</v>
      </c>
      <c r="E35" s="1">
        <f t="shared" si="4"/>
        <v>175750</v>
      </c>
      <c r="F35" s="1">
        <f t="shared" si="5"/>
        <v>-35000</v>
      </c>
      <c r="G35" s="1">
        <f t="shared" si="6"/>
        <v>-25750</v>
      </c>
      <c r="H35" s="1">
        <f t="shared" si="7"/>
        <v>-9250</v>
      </c>
    </row>
    <row r="36" spans="1:8" x14ac:dyDescent="0.25">
      <c r="A36" t="s">
        <v>113</v>
      </c>
      <c r="B36" s="2">
        <v>3850000</v>
      </c>
      <c r="C36" s="2">
        <v>77000</v>
      </c>
      <c r="D36" s="2">
        <v>95000</v>
      </c>
      <c r="E36" s="1">
        <f t="shared" si="4"/>
        <v>90250</v>
      </c>
      <c r="F36" s="1">
        <f t="shared" si="5"/>
        <v>-18000</v>
      </c>
      <c r="G36" s="1">
        <f t="shared" si="6"/>
        <v>-13250</v>
      </c>
      <c r="H36" s="1">
        <f t="shared" si="7"/>
        <v>-4750</v>
      </c>
    </row>
    <row r="37" spans="1:8" x14ac:dyDescent="0.25">
      <c r="A37" t="s">
        <v>113</v>
      </c>
      <c r="B37" s="2">
        <v>3850000</v>
      </c>
      <c r="C37" s="2">
        <v>77000</v>
      </c>
      <c r="D37" s="2">
        <v>95000</v>
      </c>
      <c r="E37" s="1">
        <f t="shared" si="4"/>
        <v>90250</v>
      </c>
      <c r="F37" s="1">
        <f t="shared" si="5"/>
        <v>-18000</v>
      </c>
      <c r="G37" s="1">
        <f t="shared" si="6"/>
        <v>-13250</v>
      </c>
      <c r="H37" s="1">
        <f t="shared" si="7"/>
        <v>-4750</v>
      </c>
    </row>
    <row r="38" spans="1:8" x14ac:dyDescent="0.25">
      <c r="A38" t="s">
        <v>114</v>
      </c>
      <c r="B38" s="2">
        <v>3850000</v>
      </c>
      <c r="C38" s="2">
        <v>77000</v>
      </c>
      <c r="D38" s="2">
        <v>100000</v>
      </c>
      <c r="E38" s="1">
        <f t="shared" si="4"/>
        <v>95000</v>
      </c>
      <c r="F38" s="1">
        <f t="shared" si="5"/>
        <v>-23000</v>
      </c>
      <c r="G38" s="1">
        <f t="shared" si="6"/>
        <v>-18000</v>
      </c>
      <c r="H38" s="1">
        <f t="shared" si="7"/>
        <v>-5000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7601F-E2C9-40C4-9A6E-A3DDCA0540AD}">
  <sheetPr codeName="Sheet2"/>
  <dimension ref="A1:G55"/>
  <sheetViews>
    <sheetView topLeftCell="A27" zoomScale="145" zoomScaleNormal="145" workbookViewId="0">
      <selection activeCell="C55" sqref="C55"/>
    </sheetView>
  </sheetViews>
  <sheetFormatPr defaultColWidth="26.5703125" defaultRowHeight="15" x14ac:dyDescent="0.25"/>
  <cols>
    <col min="1" max="1" width="36" bestFit="1" customWidth="1"/>
    <col min="2" max="2" width="12.42578125" bestFit="1" customWidth="1"/>
    <col min="4" max="4" width="37.140625" bestFit="1" customWidth="1"/>
    <col min="5" max="5" width="14.7109375" customWidth="1"/>
  </cols>
  <sheetData>
    <row r="1" spans="1:5" x14ac:dyDescent="0.25">
      <c r="A1" s="20" t="s">
        <v>44</v>
      </c>
      <c r="B1" s="21"/>
      <c r="D1" s="20" t="s">
        <v>44</v>
      </c>
      <c r="E1" s="21"/>
    </row>
    <row r="2" spans="1:5" x14ac:dyDescent="0.25">
      <c r="A2" s="22" t="s">
        <v>45</v>
      </c>
      <c r="B2" s="23"/>
      <c r="D2" s="22" t="s">
        <v>61</v>
      </c>
      <c r="E2" s="23"/>
    </row>
    <row r="3" spans="1:5" x14ac:dyDescent="0.25">
      <c r="A3" s="22" t="s">
        <v>67</v>
      </c>
      <c r="B3" s="23"/>
      <c r="D3" s="22" t="s">
        <v>67</v>
      </c>
      <c r="E3" s="23"/>
    </row>
    <row r="4" spans="1:5" x14ac:dyDescent="0.25">
      <c r="A4" s="6" t="s">
        <v>22</v>
      </c>
      <c r="B4" s="9"/>
      <c r="D4" s="12" t="s">
        <v>47</v>
      </c>
      <c r="E4" s="12" t="s">
        <v>48</v>
      </c>
    </row>
    <row r="5" spans="1:5" x14ac:dyDescent="0.25">
      <c r="A5" s="6" t="s">
        <v>16</v>
      </c>
      <c r="B5" s="9"/>
      <c r="D5" s="11" t="s">
        <v>49</v>
      </c>
      <c r="E5" s="13"/>
    </row>
    <row r="6" spans="1:5" x14ac:dyDescent="0.25">
      <c r="A6" s="7" t="s">
        <v>23</v>
      </c>
      <c r="B6" s="8">
        <f>SUMIFS(Transaksi_barang_toko1!G:G, Transaksi_barang_toko1!K:K, "February", Transaksi_barang_toko1!L:L, "Pesanan Selesai")
+ SUMIFS(Transaksi_barang_toko2!G:G, Transaksi_barang_toko2!K:K, "February", Transaksi_barang_toko2!L:L, "Pesanan Selesai")</f>
        <v>6180000</v>
      </c>
      <c r="D6" s="11" t="s">
        <v>50</v>
      </c>
      <c r="E6" s="13">
        <f>B26</f>
        <v>-263700</v>
      </c>
    </row>
    <row r="7" spans="1:5" x14ac:dyDescent="0.25">
      <c r="A7" s="7" t="s">
        <v>24</v>
      </c>
      <c r="B7" s="8">
        <f>(SUMIF(Transaksi_barang_toko1!L:L, "Pesanan Selesai", Transaksi_barang_toko1!O:O)
+ SUMIF(Transaksi_barang_toko2!L:L, "Pesanan Selesai", Transaksi_barang_toko2!O:O) )* -1</f>
        <v>-247200</v>
      </c>
      <c r="D7" s="11" t="s">
        <v>51</v>
      </c>
      <c r="E7" s="13"/>
    </row>
    <row r="8" spans="1:5" x14ac:dyDescent="0.25">
      <c r="A8" s="7" t="s">
        <v>25</v>
      </c>
      <c r="B8" s="8">
        <f>SUMIFS(Transaksi_barang_toko1!I:I, Transaksi_barang_toko1!K:K, "February", Transaksi_barang_toko1!L:L, "Pesanan Selesai")
+ SUMIFS(Transaksi_barang_toko2!I:I, Transaksi_barang_toko2!K:K, "February", Transaksi_barang_toko2!L:L, "Pesanan Selesai")</f>
        <v>0</v>
      </c>
      <c r="D8" s="11" t="s">
        <v>64</v>
      </c>
      <c r="E8" s="13">
        <f>SUMIF(Hutang!F:F, "Lunas", Hutang!E:E)</f>
        <v>0</v>
      </c>
    </row>
    <row r="9" spans="1:5" x14ac:dyDescent="0.25">
      <c r="A9" s="6" t="s">
        <v>26</v>
      </c>
      <c r="B9" s="10">
        <f>SUM(B6:B8)</f>
        <v>5932800</v>
      </c>
      <c r="D9" s="11" t="s">
        <v>52</v>
      </c>
      <c r="E9" s="13">
        <f>SUM(E6:E8)</f>
        <v>-263700</v>
      </c>
    </row>
    <row r="10" spans="1:5" x14ac:dyDescent="0.25">
      <c r="A10" s="6" t="s">
        <v>27</v>
      </c>
      <c r="B10" s="8"/>
      <c r="D10" s="11"/>
      <c r="E10" s="13"/>
    </row>
    <row r="11" spans="1:5" x14ac:dyDescent="0.25">
      <c r="A11" s="7" t="s">
        <v>28</v>
      </c>
      <c r="B11" s="8">
        <f>SUMIFS(Transaksi_barang_toko1!F:F, Transaksi_barang_toko1!K:K, "February", Transaksi_barang_toko1!L:L, "Pesanan Selesai")
+ SUMIFS(Transaksi_barang_toko2!F:F, Transaksi_barang_toko2!K:K, "February", Transaksi_barang_toko2!L:L, "Pesanan Selesai")</f>
        <v>5026000</v>
      </c>
      <c r="D11" s="11" t="s">
        <v>53</v>
      </c>
      <c r="E11" s="13"/>
    </row>
    <row r="12" spans="1:5" x14ac:dyDescent="0.25">
      <c r="A12" s="7" t="s">
        <v>29</v>
      </c>
      <c r="B12" s="8">
        <f>B11</f>
        <v>5026000</v>
      </c>
      <c r="D12" s="11" t="s">
        <v>54</v>
      </c>
      <c r="E12" s="13">
        <v>0</v>
      </c>
    </row>
    <row r="13" spans="1:5" x14ac:dyDescent="0.25">
      <c r="A13" s="6" t="s">
        <v>30</v>
      </c>
      <c r="B13" s="10">
        <f>B9-B12</f>
        <v>906800</v>
      </c>
      <c r="D13" s="11"/>
      <c r="E13" s="13"/>
    </row>
    <row r="14" spans="1:5" x14ac:dyDescent="0.25">
      <c r="A14" s="6" t="s">
        <v>31</v>
      </c>
      <c r="B14" s="8"/>
      <c r="D14" s="11" t="s">
        <v>55</v>
      </c>
      <c r="E14" s="13"/>
    </row>
    <row r="15" spans="1:5" x14ac:dyDescent="0.25">
      <c r="A15" s="7" t="s">
        <v>32</v>
      </c>
      <c r="B15" s="8">
        <f>SUMIF(Beban!D:D, "Adm.Bank", Beban!F:F)</f>
        <v>10000</v>
      </c>
      <c r="D15" s="11" t="s">
        <v>56</v>
      </c>
      <c r="E15" s="13">
        <v>0</v>
      </c>
    </row>
    <row r="16" spans="1:5" x14ac:dyDescent="0.25">
      <c r="A16" s="7" t="s">
        <v>33</v>
      </c>
      <c r="B16" s="8">
        <v>0</v>
      </c>
      <c r="D16" s="11"/>
      <c r="E16" s="13"/>
    </row>
    <row r="17" spans="1:7" x14ac:dyDescent="0.25">
      <c r="A17" s="7" t="s">
        <v>46</v>
      </c>
      <c r="B17" s="8">
        <f>SUMIF(Beban!D:D, "Iklan", Beban!F:F)</f>
        <v>222000</v>
      </c>
      <c r="D17" s="11" t="s">
        <v>57</v>
      </c>
      <c r="E17" s="13"/>
    </row>
    <row r="18" spans="1:7" x14ac:dyDescent="0.25">
      <c r="A18" s="7" t="s">
        <v>34</v>
      </c>
      <c r="B18" s="8">
        <f>SUMIF(Beban!D:D, "Operasional", Beban!F:F)</f>
        <v>938500</v>
      </c>
      <c r="D18" s="11" t="s">
        <v>52</v>
      </c>
      <c r="E18" s="13">
        <f>E9</f>
        <v>-263700</v>
      </c>
    </row>
    <row r="19" spans="1:7" x14ac:dyDescent="0.25">
      <c r="A19" s="6" t="s">
        <v>35</v>
      </c>
      <c r="B19" s="10">
        <f>SUM(B15:B18) *-1</f>
        <v>-1170500</v>
      </c>
      <c r="D19" s="11" t="s">
        <v>54</v>
      </c>
      <c r="E19" s="13">
        <f>E12</f>
        <v>0</v>
      </c>
    </row>
    <row r="20" spans="1:7" x14ac:dyDescent="0.25">
      <c r="A20" s="6" t="s">
        <v>36</v>
      </c>
      <c r="B20" s="8"/>
      <c r="D20" s="11" t="s">
        <v>56</v>
      </c>
      <c r="E20" s="13">
        <f>E15</f>
        <v>0</v>
      </c>
    </row>
    <row r="21" spans="1:7" x14ac:dyDescent="0.25">
      <c r="A21" s="7" t="s">
        <v>37</v>
      </c>
      <c r="B21" s="8">
        <f>SUMIF(Pendapatan_Lainya!C:C, "Selisih Bank", Pendapatan_Lainya!E:E)</f>
        <v>0</v>
      </c>
      <c r="D21" s="11" t="s">
        <v>58</v>
      </c>
      <c r="E21" s="13">
        <f>SUM(E18:E20)</f>
        <v>-263700</v>
      </c>
    </row>
    <row r="22" spans="1:7" x14ac:dyDescent="0.25">
      <c r="A22" s="7" t="s">
        <v>38</v>
      </c>
      <c r="B22" s="8">
        <v>0</v>
      </c>
      <c r="D22" s="11" t="s">
        <v>59</v>
      </c>
      <c r="E22" s="13">
        <v>628325</v>
      </c>
      <c r="G22" s="2"/>
    </row>
    <row r="23" spans="1:7" x14ac:dyDescent="0.25">
      <c r="A23" s="7" t="s">
        <v>39</v>
      </c>
      <c r="B23" s="8">
        <v>0</v>
      </c>
      <c r="D23" s="11" t="s">
        <v>60</v>
      </c>
      <c r="E23" s="13">
        <f>E21+E22</f>
        <v>364625</v>
      </c>
      <c r="F23" s="2"/>
      <c r="G23" s="1"/>
    </row>
    <row r="24" spans="1:7" x14ac:dyDescent="0.25">
      <c r="A24" s="7" t="s">
        <v>40</v>
      </c>
      <c r="B24" s="8">
        <v>0</v>
      </c>
    </row>
    <row r="25" spans="1:7" x14ac:dyDescent="0.25">
      <c r="A25" s="7" t="s">
        <v>41</v>
      </c>
      <c r="B25" s="8">
        <v>0</v>
      </c>
    </row>
    <row r="26" spans="1:7" x14ac:dyDescent="0.25">
      <c r="A26" s="7" t="s">
        <v>42</v>
      </c>
      <c r="B26" s="8">
        <f>SUM(B13+B19)</f>
        <v>-263700</v>
      </c>
    </row>
    <row r="27" spans="1:7" x14ac:dyDescent="0.25">
      <c r="A27" s="7" t="s">
        <v>43</v>
      </c>
      <c r="B27" s="8">
        <f>SUM(B13+B19)</f>
        <v>-263700</v>
      </c>
    </row>
    <row r="29" spans="1:7" x14ac:dyDescent="0.25">
      <c r="A29" s="20" t="s">
        <v>44</v>
      </c>
      <c r="B29" s="21"/>
      <c r="D29" s="20" t="s">
        <v>44</v>
      </c>
      <c r="E29" s="21"/>
    </row>
    <row r="30" spans="1:7" x14ac:dyDescent="0.25">
      <c r="A30" s="22" t="s">
        <v>45</v>
      </c>
      <c r="B30" s="23"/>
      <c r="D30" s="22" t="s">
        <v>61</v>
      </c>
      <c r="E30" s="23"/>
    </row>
    <row r="31" spans="1:7" x14ac:dyDescent="0.25">
      <c r="A31" s="22" t="s">
        <v>141</v>
      </c>
      <c r="B31" s="23"/>
      <c r="D31" s="22" t="s">
        <v>141</v>
      </c>
      <c r="E31" s="23"/>
    </row>
    <row r="32" spans="1:7" x14ac:dyDescent="0.25">
      <c r="A32" s="6" t="s">
        <v>22</v>
      </c>
      <c r="B32" s="9"/>
      <c r="D32" s="12" t="s">
        <v>47</v>
      </c>
      <c r="E32" s="12" t="s">
        <v>48</v>
      </c>
    </row>
    <row r="33" spans="1:5" x14ac:dyDescent="0.25">
      <c r="A33" s="6" t="s">
        <v>16</v>
      </c>
      <c r="B33" s="9"/>
      <c r="D33" s="11" t="s">
        <v>49</v>
      </c>
      <c r="E33" s="13"/>
    </row>
    <row r="34" spans="1:5" x14ac:dyDescent="0.25">
      <c r="A34" s="7" t="s">
        <v>23</v>
      </c>
      <c r="B34" s="8">
        <f>SUMIFS(Transaksi_barang_toko1!G:G, Transaksi_barang_toko1!K:K, "March", Transaksi_barang_toko1!L:L, "Pesanan Selesai")
+ SUMIFS(Transaksi_barang_toko2!G:G, Transaksi_barang_toko2!K:K, "March", Transaksi_barang_toko2!L:L, "Pesanan Selesai")</f>
        <v>1405000</v>
      </c>
      <c r="D34" s="11" t="s">
        <v>50</v>
      </c>
      <c r="E34" s="13">
        <f>B54</f>
        <v>-167000</v>
      </c>
    </row>
    <row r="35" spans="1:5" x14ac:dyDescent="0.25">
      <c r="A35" s="7" t="s">
        <v>24</v>
      </c>
      <c r="B35" s="8">
        <f>SUMIFS(Transaksi_barang_toko1!G:G, Transaksi_barang_toko1!K:K, "March", Transaksi_barang_toko1!L:L, "Pesanan Selesai")
+ SUMIFS(Transaksi_barang_toko2!O:O, Transaksi_barang_toko2!K:K, "March", Transaksi_barang_toko2!L:L, "Pesanan Selesai")</f>
        <v>0</v>
      </c>
      <c r="D35" s="11" t="s">
        <v>51</v>
      </c>
      <c r="E35" s="13"/>
    </row>
    <row r="36" spans="1:5" x14ac:dyDescent="0.25">
      <c r="A36" s="7" t="s">
        <v>25</v>
      </c>
      <c r="B36" s="8">
        <f>SUMIFS(Transaksi_barang_toko1!I:I, Transaksi_barang_toko1!K:K, "March", Transaksi_barang_toko1!L:L, "Pesanan Selesai")
+ SUMIFS(Transaksi_barang_toko2!I:I, Transaksi_barang_toko2!K:K, "March", Transaksi_barang_toko2!L:L, "Pesanan Selesai")</f>
        <v>0</v>
      </c>
      <c r="D36" s="11" t="s">
        <v>64</v>
      </c>
      <c r="E36" s="13">
        <f>SUMIF(Hutang!F:F, "Lunas", Hutang!E:E)</f>
        <v>0</v>
      </c>
    </row>
    <row r="37" spans="1:5" x14ac:dyDescent="0.25">
      <c r="A37" s="6" t="s">
        <v>26</v>
      </c>
      <c r="B37" s="10">
        <f>SUM(B34:B36)</f>
        <v>1405000</v>
      </c>
      <c r="D37" s="11" t="s">
        <v>52</v>
      </c>
      <c r="E37" s="13">
        <f>SUM(E34:E36)</f>
        <v>-167000</v>
      </c>
    </row>
    <row r="38" spans="1:5" x14ac:dyDescent="0.25">
      <c r="A38" s="6" t="s">
        <v>27</v>
      </c>
      <c r="B38" s="8"/>
      <c r="D38" s="11"/>
      <c r="E38" s="13"/>
    </row>
    <row r="39" spans="1:5" x14ac:dyDescent="0.25">
      <c r="A39" s="7" t="s">
        <v>28</v>
      </c>
      <c r="B39" s="8">
        <f>SUMIFS(Transaksi_barang_toko1!F:F, Transaksi_barang_toko1!K:K, "March", Transaksi_barang_toko1!L:L, "Pesanan Selesai")
+ SUMIFS(Transaksi_barang_toko2!F:F, Transaksi_barang_toko2!K:K, "March", Transaksi_barang_toko2!L:L, "Pesanan Selesai")</f>
        <v>1148000</v>
      </c>
      <c r="D39" s="11" t="s">
        <v>53</v>
      </c>
      <c r="E39" s="13"/>
    </row>
    <row r="40" spans="1:5" x14ac:dyDescent="0.25">
      <c r="A40" s="7" t="s">
        <v>29</v>
      </c>
      <c r="B40" s="8">
        <f>B39</f>
        <v>1148000</v>
      </c>
      <c r="D40" s="11" t="s">
        <v>54</v>
      </c>
      <c r="E40" s="13">
        <v>0</v>
      </c>
    </row>
    <row r="41" spans="1:5" x14ac:dyDescent="0.25">
      <c r="A41" s="6" t="s">
        <v>30</v>
      </c>
      <c r="B41" s="10">
        <f>B37-B40</f>
        <v>257000</v>
      </c>
      <c r="D41" s="11"/>
      <c r="E41" s="13"/>
    </row>
    <row r="42" spans="1:5" x14ac:dyDescent="0.25">
      <c r="A42" s="6" t="s">
        <v>31</v>
      </c>
      <c r="B42" s="8"/>
      <c r="D42" s="11" t="s">
        <v>55</v>
      </c>
      <c r="E42" s="13"/>
    </row>
    <row r="43" spans="1:5" x14ac:dyDescent="0.25">
      <c r="A43" s="7" t="s">
        <v>32</v>
      </c>
      <c r="B43" s="8">
        <f>SUMIFS(Beban!F:F,Beban!C:C,"March",Beban!D:D,"Adm.Bank")</f>
        <v>0</v>
      </c>
      <c r="D43" s="11" t="s">
        <v>56</v>
      </c>
      <c r="E43" s="13">
        <v>0</v>
      </c>
    </row>
    <row r="44" spans="1:5" x14ac:dyDescent="0.25">
      <c r="A44" s="7" t="s">
        <v>33</v>
      </c>
      <c r="B44" s="8">
        <v>0</v>
      </c>
      <c r="D44" s="11"/>
      <c r="E44" s="13"/>
    </row>
    <row r="45" spans="1:5" x14ac:dyDescent="0.25">
      <c r="A45" s="7" t="s">
        <v>46</v>
      </c>
      <c r="B45" s="8">
        <f>SUMIFS(Beban!F:F,Beban!C:C,"March",Beban!D:D,"Iklan")</f>
        <v>0</v>
      </c>
      <c r="D45" s="11" t="s">
        <v>57</v>
      </c>
      <c r="E45" s="13"/>
    </row>
    <row r="46" spans="1:5" x14ac:dyDescent="0.25">
      <c r="A46" s="7" t="s">
        <v>34</v>
      </c>
      <c r="B46" s="8">
        <f>SUMIFS(Beban!F:F,Beban!C:C,"March",Beban!D:D,"Operasional")</f>
        <v>424000</v>
      </c>
      <c r="D46" s="11" t="s">
        <v>52</v>
      </c>
      <c r="E46" s="13">
        <f>E37</f>
        <v>-167000</v>
      </c>
    </row>
    <row r="47" spans="1:5" x14ac:dyDescent="0.25">
      <c r="A47" s="6" t="s">
        <v>35</v>
      </c>
      <c r="B47" s="10">
        <f>SUM(B43:B46) *-1</f>
        <v>-424000</v>
      </c>
      <c r="D47" s="11" t="s">
        <v>54</v>
      </c>
      <c r="E47" s="13">
        <f>E40</f>
        <v>0</v>
      </c>
    </row>
    <row r="48" spans="1:5" x14ac:dyDescent="0.25">
      <c r="A48" s="6" t="s">
        <v>36</v>
      </c>
      <c r="B48" s="8"/>
      <c r="D48" s="11" t="s">
        <v>56</v>
      </c>
      <c r="E48" s="13">
        <f>E43</f>
        <v>0</v>
      </c>
    </row>
    <row r="49" spans="1:5" x14ac:dyDescent="0.25">
      <c r="A49" s="7" t="s">
        <v>37</v>
      </c>
      <c r="B49" s="8">
        <f>SUMIF(Pendapatan_Lainya!C:C, "Selisih Bank", Pendapatan_Lainya!E:E)</f>
        <v>0</v>
      </c>
      <c r="D49" s="11" t="s">
        <v>58</v>
      </c>
      <c r="E49" s="13">
        <f>SUM(E46:E48)</f>
        <v>-167000</v>
      </c>
    </row>
    <row r="50" spans="1:5" x14ac:dyDescent="0.25">
      <c r="A50" s="7" t="s">
        <v>38</v>
      </c>
      <c r="B50" s="8">
        <v>0</v>
      </c>
      <c r="D50" s="11" t="s">
        <v>59</v>
      </c>
      <c r="E50" s="13">
        <v>859230</v>
      </c>
    </row>
    <row r="51" spans="1:5" x14ac:dyDescent="0.25">
      <c r="A51" s="7" t="s">
        <v>39</v>
      </c>
      <c r="B51" s="8">
        <v>0</v>
      </c>
      <c r="D51" s="11" t="s">
        <v>60</v>
      </c>
      <c r="E51" s="13">
        <f>E49+E50</f>
        <v>692230</v>
      </c>
    </row>
    <row r="52" spans="1:5" x14ac:dyDescent="0.25">
      <c r="A52" s="7" t="s">
        <v>40</v>
      </c>
      <c r="B52" s="8">
        <v>0</v>
      </c>
    </row>
    <row r="53" spans="1:5" x14ac:dyDescent="0.25">
      <c r="A53" s="7" t="s">
        <v>41</v>
      </c>
      <c r="B53" s="8">
        <v>0</v>
      </c>
    </row>
    <row r="54" spans="1:5" x14ac:dyDescent="0.25">
      <c r="A54" s="7" t="s">
        <v>42</v>
      </c>
      <c r="B54" s="8">
        <f>SUM(B41+B47)</f>
        <v>-167000</v>
      </c>
    </row>
    <row r="55" spans="1:5" x14ac:dyDescent="0.25">
      <c r="A55" s="7" t="s">
        <v>43</v>
      </c>
      <c r="B55" s="8">
        <f>SUM(B41+B47)</f>
        <v>-167000</v>
      </c>
    </row>
  </sheetData>
  <mergeCells count="12">
    <mergeCell ref="A29:B29"/>
    <mergeCell ref="D29:E29"/>
    <mergeCell ref="A30:B30"/>
    <mergeCell ref="D30:E30"/>
    <mergeCell ref="A31:B31"/>
    <mergeCell ref="D31:E31"/>
    <mergeCell ref="A1:B1"/>
    <mergeCell ref="A2:B2"/>
    <mergeCell ref="A3:B3"/>
    <mergeCell ref="D1:E1"/>
    <mergeCell ref="D2:E2"/>
    <mergeCell ref="D3:E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8AA73-911C-4499-A579-5ADDF77D06D0}">
  <sheetPr codeName="Sheet3"/>
  <dimension ref="A1:Z117"/>
  <sheetViews>
    <sheetView zoomScaleNormal="100" workbookViewId="0">
      <selection activeCell="P2" sqref="P2:P25"/>
    </sheetView>
  </sheetViews>
  <sheetFormatPr defaultRowHeight="15" x14ac:dyDescent="0.25"/>
  <cols>
    <col min="1" max="1" width="6.28515625" bestFit="1" customWidth="1"/>
    <col min="2" max="2" width="10.140625" bestFit="1" customWidth="1"/>
    <col min="3" max="3" width="18.42578125" bestFit="1" customWidth="1"/>
    <col min="4" max="4" width="6.42578125" bestFit="1" customWidth="1"/>
    <col min="5" max="5" width="10.28515625" style="15" bestFit="1" customWidth="1"/>
    <col min="6" max="6" width="12.7109375" bestFit="1" customWidth="1"/>
    <col min="7" max="7" width="12.28515625" bestFit="1" customWidth="1"/>
    <col min="8" max="8" width="16" bestFit="1" customWidth="1"/>
    <col min="9" max="9" width="17.140625" bestFit="1" customWidth="1"/>
    <col min="10" max="10" width="19.28515625" bestFit="1" customWidth="1"/>
    <col min="11" max="11" width="15.85546875" bestFit="1" customWidth="1"/>
    <col min="12" max="12" width="17.5703125" bestFit="1" customWidth="1"/>
    <col min="13" max="13" width="16.42578125" bestFit="1" customWidth="1"/>
    <col min="14" max="14" width="15" bestFit="1" customWidth="1"/>
    <col min="15" max="15" width="19" bestFit="1" customWidth="1"/>
    <col min="16" max="16" width="18" bestFit="1" customWidth="1"/>
    <col min="26" max="26" width="15.5703125" bestFit="1" customWidth="1"/>
  </cols>
  <sheetData>
    <row r="1" spans="1:26" s="14" customFormat="1" x14ac:dyDescent="0.25">
      <c r="A1" s="14" t="s">
        <v>8</v>
      </c>
      <c r="B1" s="14" t="s">
        <v>7</v>
      </c>
      <c r="C1" s="14" t="s">
        <v>6</v>
      </c>
      <c r="D1" s="14" t="s">
        <v>5</v>
      </c>
      <c r="E1" s="16" t="s">
        <v>68</v>
      </c>
      <c r="F1" s="14" t="s">
        <v>4</v>
      </c>
      <c r="G1" s="14" t="s">
        <v>3</v>
      </c>
      <c r="H1" s="14" t="s">
        <v>69</v>
      </c>
      <c r="I1" s="14" t="s">
        <v>70</v>
      </c>
      <c r="J1" s="14" t="s">
        <v>2</v>
      </c>
      <c r="K1" s="14" t="s">
        <v>1</v>
      </c>
      <c r="L1" s="14" t="s">
        <v>0</v>
      </c>
      <c r="M1" s="14" t="s">
        <v>81</v>
      </c>
      <c r="N1" s="14" t="s">
        <v>134</v>
      </c>
      <c r="O1" s="14" t="s">
        <v>135</v>
      </c>
      <c r="P1" s="14" t="s">
        <v>136</v>
      </c>
    </row>
    <row r="2" spans="1:26" x14ac:dyDescent="0.25">
      <c r="A2">
        <v>3</v>
      </c>
      <c r="B2">
        <v>20250201</v>
      </c>
      <c r="C2" s="1" t="s">
        <v>15</v>
      </c>
      <c r="D2">
        <v>3</v>
      </c>
      <c r="F2" s="1">
        <f t="shared" ref="F2:F26" si="0">77000*D2</f>
        <v>231000</v>
      </c>
      <c r="G2" s="1">
        <f t="shared" ref="G2:G26" si="1">95000*D2</f>
        <v>285000</v>
      </c>
      <c r="H2" s="1">
        <f t="shared" ref="H2:H33" si="2">IF(OR(ISBLANK(G2), ISBLANK(E2), E2=0), 0, G2 - (G2 * E2 / 100))</f>
        <v>0</v>
      </c>
      <c r="I2" s="2">
        <f t="shared" ref="I2:I9" si="3">IF(OR(ISBLANK(G2), ISBLANK(H2), H2=0), 0, G2 - H2)</f>
        <v>0</v>
      </c>
      <c r="J2" s="1">
        <f t="shared" ref="J2:J9" si="4">F2-G2+I2</f>
        <v>-54000</v>
      </c>
      <c r="K2" t="s">
        <v>79</v>
      </c>
      <c r="L2" t="s">
        <v>66</v>
      </c>
      <c r="N2">
        <v>1</v>
      </c>
      <c r="O2" s="1">
        <f>IF(L2="Pesanan Selesai", G2*0.04, "")</f>
        <v>11400</v>
      </c>
      <c r="P2" s="1">
        <f>IF(L2="Pesanan Selesai", J2+O2, "")</f>
        <v>-42600</v>
      </c>
      <c r="Z2" t="s">
        <v>65</v>
      </c>
    </row>
    <row r="3" spans="1:26" x14ac:dyDescent="0.25">
      <c r="A3">
        <v>4</v>
      </c>
      <c r="B3">
        <v>20250201</v>
      </c>
      <c r="C3" s="1" t="s">
        <v>15</v>
      </c>
      <c r="D3">
        <v>3</v>
      </c>
      <c r="F3" s="1">
        <f t="shared" si="0"/>
        <v>231000</v>
      </c>
      <c r="G3" s="1">
        <f t="shared" si="1"/>
        <v>285000</v>
      </c>
      <c r="H3" s="1">
        <f t="shared" si="2"/>
        <v>0</v>
      </c>
      <c r="I3" s="2">
        <f t="shared" si="3"/>
        <v>0</v>
      </c>
      <c r="J3" s="1">
        <f t="shared" si="4"/>
        <v>-54000</v>
      </c>
      <c r="K3" t="s">
        <v>79</v>
      </c>
      <c r="L3" t="s">
        <v>66</v>
      </c>
      <c r="N3">
        <v>1</v>
      </c>
      <c r="O3" s="1">
        <f t="shared" ref="O3:O66" si="5">IF(L3="Pesanan Selesai", G3*0.04, "")</f>
        <v>11400</v>
      </c>
      <c r="P3" s="1">
        <f t="shared" ref="P3:P66" si="6">IF(L3="Pesanan Selesai", J3+O3, "")</f>
        <v>-42600</v>
      </c>
      <c r="Z3" t="s">
        <v>62</v>
      </c>
    </row>
    <row r="4" spans="1:26" x14ac:dyDescent="0.25">
      <c r="A4">
        <v>7</v>
      </c>
      <c r="B4">
        <v>20250201</v>
      </c>
      <c r="C4" s="1" t="s">
        <v>15</v>
      </c>
      <c r="D4">
        <v>3</v>
      </c>
      <c r="F4" s="1">
        <f t="shared" si="0"/>
        <v>231000</v>
      </c>
      <c r="G4" s="1">
        <f t="shared" si="1"/>
        <v>285000</v>
      </c>
      <c r="H4" s="1">
        <f t="shared" si="2"/>
        <v>0</v>
      </c>
      <c r="I4" s="2">
        <f t="shared" si="3"/>
        <v>0</v>
      </c>
      <c r="J4" s="1">
        <f t="shared" si="4"/>
        <v>-54000</v>
      </c>
      <c r="K4" t="s">
        <v>79</v>
      </c>
      <c r="L4" t="s">
        <v>66</v>
      </c>
      <c r="N4">
        <v>1</v>
      </c>
      <c r="O4" s="1">
        <f t="shared" si="5"/>
        <v>11400</v>
      </c>
      <c r="P4" s="1">
        <f t="shared" si="6"/>
        <v>-42600</v>
      </c>
      <c r="Z4" t="s">
        <v>66</v>
      </c>
    </row>
    <row r="5" spans="1:26" x14ac:dyDescent="0.25">
      <c r="A5">
        <v>8</v>
      </c>
      <c r="B5">
        <v>20250201</v>
      </c>
      <c r="C5" s="1" t="s">
        <v>15</v>
      </c>
      <c r="D5">
        <v>2</v>
      </c>
      <c r="F5" s="1">
        <f t="shared" si="0"/>
        <v>154000</v>
      </c>
      <c r="G5" s="1">
        <f t="shared" si="1"/>
        <v>190000</v>
      </c>
      <c r="H5" s="1">
        <f t="shared" si="2"/>
        <v>0</v>
      </c>
      <c r="I5" s="2">
        <f t="shared" si="3"/>
        <v>0</v>
      </c>
      <c r="J5" s="1">
        <f t="shared" si="4"/>
        <v>-36000</v>
      </c>
      <c r="K5" t="s">
        <v>79</v>
      </c>
      <c r="L5" t="s">
        <v>66</v>
      </c>
      <c r="N5">
        <v>1</v>
      </c>
      <c r="O5" s="1">
        <f t="shared" si="5"/>
        <v>7600</v>
      </c>
      <c r="P5" s="1">
        <f t="shared" si="6"/>
        <v>-28400</v>
      </c>
      <c r="Z5" t="s">
        <v>138</v>
      </c>
    </row>
    <row r="6" spans="1:26" x14ac:dyDescent="0.25">
      <c r="A6">
        <v>9</v>
      </c>
      <c r="B6">
        <v>20250201</v>
      </c>
      <c r="C6" s="1" t="s">
        <v>15</v>
      </c>
      <c r="D6">
        <v>4</v>
      </c>
      <c r="F6" s="1">
        <f t="shared" si="0"/>
        <v>308000</v>
      </c>
      <c r="G6" s="1">
        <f t="shared" si="1"/>
        <v>380000</v>
      </c>
      <c r="H6" s="1">
        <f t="shared" si="2"/>
        <v>0</v>
      </c>
      <c r="I6" s="2">
        <f t="shared" si="3"/>
        <v>0</v>
      </c>
      <c r="J6" s="1">
        <f t="shared" si="4"/>
        <v>-72000</v>
      </c>
      <c r="K6" t="s">
        <v>79</v>
      </c>
      <c r="L6" t="s">
        <v>66</v>
      </c>
      <c r="N6">
        <v>1</v>
      </c>
      <c r="O6" s="1">
        <f t="shared" si="5"/>
        <v>15200</v>
      </c>
      <c r="P6" s="1">
        <f t="shared" si="6"/>
        <v>-56800</v>
      </c>
    </row>
    <row r="7" spans="1:26" x14ac:dyDescent="0.25">
      <c r="A7">
        <v>11</v>
      </c>
      <c r="B7">
        <v>20250201</v>
      </c>
      <c r="C7" s="1" t="s">
        <v>15</v>
      </c>
      <c r="D7">
        <v>2</v>
      </c>
      <c r="F7" s="1">
        <f t="shared" si="0"/>
        <v>154000</v>
      </c>
      <c r="G7" s="1">
        <f t="shared" si="1"/>
        <v>190000</v>
      </c>
      <c r="H7" s="1">
        <f t="shared" si="2"/>
        <v>0</v>
      </c>
      <c r="I7" s="2">
        <f t="shared" si="3"/>
        <v>0</v>
      </c>
      <c r="J7" s="1">
        <f t="shared" si="4"/>
        <v>-36000</v>
      </c>
      <c r="K7" t="s">
        <v>79</v>
      </c>
      <c r="L7" t="s">
        <v>66</v>
      </c>
      <c r="N7">
        <v>1</v>
      </c>
      <c r="O7" s="1">
        <f t="shared" si="5"/>
        <v>7600</v>
      </c>
      <c r="P7" s="1">
        <f t="shared" si="6"/>
        <v>-28400</v>
      </c>
    </row>
    <row r="8" spans="1:26" x14ac:dyDescent="0.25">
      <c r="A8">
        <v>12</v>
      </c>
      <c r="B8">
        <v>20250201</v>
      </c>
      <c r="C8" s="1" t="s">
        <v>15</v>
      </c>
      <c r="D8">
        <v>3</v>
      </c>
      <c r="F8" s="1">
        <f t="shared" si="0"/>
        <v>231000</v>
      </c>
      <c r="G8" s="1">
        <f t="shared" si="1"/>
        <v>285000</v>
      </c>
      <c r="H8" s="1">
        <f t="shared" si="2"/>
        <v>0</v>
      </c>
      <c r="I8" s="2">
        <f t="shared" si="3"/>
        <v>0</v>
      </c>
      <c r="J8" s="1">
        <f t="shared" si="4"/>
        <v>-54000</v>
      </c>
      <c r="K8" t="s">
        <v>79</v>
      </c>
      <c r="L8" t="s">
        <v>66</v>
      </c>
      <c r="N8">
        <v>1</v>
      </c>
      <c r="O8" s="1">
        <f t="shared" si="5"/>
        <v>11400</v>
      </c>
      <c r="P8" s="1">
        <f t="shared" si="6"/>
        <v>-42600</v>
      </c>
    </row>
    <row r="9" spans="1:26" x14ac:dyDescent="0.25">
      <c r="A9">
        <v>13</v>
      </c>
      <c r="B9">
        <v>20250201</v>
      </c>
      <c r="C9" s="1" t="s">
        <v>80</v>
      </c>
      <c r="D9">
        <v>3</v>
      </c>
      <c r="F9" s="1">
        <f t="shared" si="0"/>
        <v>231000</v>
      </c>
      <c r="G9" s="1">
        <f t="shared" si="1"/>
        <v>285000</v>
      </c>
      <c r="H9" s="1">
        <f t="shared" si="2"/>
        <v>0</v>
      </c>
      <c r="I9" s="2">
        <f t="shared" si="3"/>
        <v>0</v>
      </c>
      <c r="J9" s="1">
        <f t="shared" si="4"/>
        <v>-54000</v>
      </c>
      <c r="K9" t="s">
        <v>79</v>
      </c>
      <c r="L9" t="s">
        <v>66</v>
      </c>
      <c r="N9">
        <v>1</v>
      </c>
      <c r="O9" s="1">
        <f t="shared" si="5"/>
        <v>11400</v>
      </c>
      <c r="P9" s="1">
        <f t="shared" si="6"/>
        <v>-42600</v>
      </c>
    </row>
    <row r="10" spans="1:26" x14ac:dyDescent="0.25">
      <c r="A10">
        <v>1</v>
      </c>
      <c r="B10">
        <v>20250201</v>
      </c>
      <c r="C10" s="1" t="s">
        <v>15</v>
      </c>
      <c r="D10">
        <v>1</v>
      </c>
      <c r="F10" s="1">
        <f t="shared" si="0"/>
        <v>77000</v>
      </c>
      <c r="G10" s="1">
        <f t="shared" si="1"/>
        <v>95000</v>
      </c>
      <c r="H10" s="1">
        <f t="shared" si="2"/>
        <v>0</v>
      </c>
      <c r="I10" s="2">
        <f>IF(OR(ISBLANK(G10), ISBLANK(H10), H10=0), 0, G10 - H10) * - 1</f>
        <v>0</v>
      </c>
      <c r="J10" s="1">
        <f>F10-G10-I10</f>
        <v>-18000</v>
      </c>
      <c r="K10" t="s">
        <v>79</v>
      </c>
      <c r="L10" t="s">
        <v>66</v>
      </c>
      <c r="N10">
        <v>2</v>
      </c>
      <c r="O10" s="1">
        <f t="shared" si="5"/>
        <v>3800</v>
      </c>
      <c r="P10" s="1">
        <f t="shared" si="6"/>
        <v>-14200</v>
      </c>
    </row>
    <row r="11" spans="1:26" x14ac:dyDescent="0.25">
      <c r="A11">
        <v>5</v>
      </c>
      <c r="B11">
        <v>20250201</v>
      </c>
      <c r="C11" s="1" t="s">
        <v>15</v>
      </c>
      <c r="D11">
        <v>1</v>
      </c>
      <c r="F11" s="1">
        <f t="shared" si="0"/>
        <v>77000</v>
      </c>
      <c r="G11" s="1">
        <f t="shared" si="1"/>
        <v>95000</v>
      </c>
      <c r="H11" s="1">
        <f t="shared" si="2"/>
        <v>0</v>
      </c>
      <c r="I11" s="2">
        <f t="shared" ref="I11:I42" si="7">IF(OR(ISBLANK(G11), ISBLANK(H11), H11=0), 0, G11 - H11)</f>
        <v>0</v>
      </c>
      <c r="J11" s="1">
        <f t="shared" ref="J11:J42" si="8">F11-G11+I11</f>
        <v>-18000</v>
      </c>
      <c r="K11" t="s">
        <v>79</v>
      </c>
      <c r="L11" t="s">
        <v>66</v>
      </c>
      <c r="N11">
        <v>2</v>
      </c>
      <c r="O11" s="1">
        <f t="shared" si="5"/>
        <v>3800</v>
      </c>
      <c r="P11" s="1">
        <f t="shared" si="6"/>
        <v>-14200</v>
      </c>
    </row>
    <row r="12" spans="1:26" x14ac:dyDescent="0.25">
      <c r="A12">
        <v>6</v>
      </c>
      <c r="B12">
        <v>20250201</v>
      </c>
      <c r="C12" s="1" t="s">
        <v>15</v>
      </c>
      <c r="D12">
        <v>1</v>
      </c>
      <c r="F12" s="1">
        <f t="shared" si="0"/>
        <v>77000</v>
      </c>
      <c r="G12" s="1">
        <f t="shared" si="1"/>
        <v>95000</v>
      </c>
      <c r="H12" s="1">
        <f t="shared" si="2"/>
        <v>0</v>
      </c>
      <c r="I12" s="2">
        <f t="shared" si="7"/>
        <v>0</v>
      </c>
      <c r="J12" s="1">
        <f t="shared" si="8"/>
        <v>-18000</v>
      </c>
      <c r="K12" t="s">
        <v>79</v>
      </c>
      <c r="L12" t="s">
        <v>66</v>
      </c>
      <c r="N12">
        <v>2</v>
      </c>
      <c r="O12" s="1">
        <f t="shared" si="5"/>
        <v>3800</v>
      </c>
      <c r="P12" s="1">
        <f t="shared" si="6"/>
        <v>-14200</v>
      </c>
    </row>
    <row r="13" spans="1:26" x14ac:dyDescent="0.25">
      <c r="A13">
        <v>14</v>
      </c>
      <c r="B13">
        <v>20250201</v>
      </c>
      <c r="C13" s="1" t="s">
        <v>15</v>
      </c>
      <c r="D13">
        <v>1</v>
      </c>
      <c r="F13" s="1">
        <f t="shared" si="0"/>
        <v>77000</v>
      </c>
      <c r="G13" s="1">
        <f t="shared" si="1"/>
        <v>95000</v>
      </c>
      <c r="H13" s="1">
        <f t="shared" si="2"/>
        <v>0</v>
      </c>
      <c r="I13" s="2">
        <f t="shared" si="7"/>
        <v>0</v>
      </c>
      <c r="J13" s="1">
        <f t="shared" si="8"/>
        <v>-18000</v>
      </c>
      <c r="K13" t="s">
        <v>79</v>
      </c>
      <c r="L13" t="s">
        <v>66</v>
      </c>
      <c r="N13">
        <v>2</v>
      </c>
      <c r="O13" s="1">
        <f t="shared" si="5"/>
        <v>3800</v>
      </c>
      <c r="P13" s="1">
        <f t="shared" si="6"/>
        <v>-14200</v>
      </c>
    </row>
    <row r="14" spans="1:26" x14ac:dyDescent="0.25">
      <c r="A14">
        <v>15</v>
      </c>
      <c r="B14">
        <v>20250201</v>
      </c>
      <c r="C14" s="1" t="s">
        <v>15</v>
      </c>
      <c r="D14">
        <v>2</v>
      </c>
      <c r="F14" s="1">
        <f t="shared" si="0"/>
        <v>154000</v>
      </c>
      <c r="G14" s="1">
        <f t="shared" si="1"/>
        <v>190000</v>
      </c>
      <c r="H14" s="1">
        <f t="shared" si="2"/>
        <v>0</v>
      </c>
      <c r="I14" s="2">
        <f t="shared" si="7"/>
        <v>0</v>
      </c>
      <c r="J14" s="1">
        <f t="shared" si="8"/>
        <v>-36000</v>
      </c>
      <c r="K14" t="s">
        <v>79</v>
      </c>
      <c r="L14" t="s">
        <v>66</v>
      </c>
      <c r="N14">
        <v>2</v>
      </c>
      <c r="O14" s="1">
        <f t="shared" si="5"/>
        <v>7600</v>
      </c>
      <c r="P14" s="1">
        <f t="shared" si="6"/>
        <v>-28400</v>
      </c>
    </row>
    <row r="15" spans="1:26" x14ac:dyDescent="0.25">
      <c r="A15">
        <v>19</v>
      </c>
      <c r="B15">
        <v>20250201</v>
      </c>
      <c r="C15" s="1" t="s">
        <v>15</v>
      </c>
      <c r="D15">
        <v>2</v>
      </c>
      <c r="F15" s="1">
        <f t="shared" si="0"/>
        <v>154000</v>
      </c>
      <c r="G15" s="1">
        <f t="shared" si="1"/>
        <v>190000</v>
      </c>
      <c r="H15" s="1">
        <f t="shared" si="2"/>
        <v>0</v>
      </c>
      <c r="I15" s="2">
        <f t="shared" si="7"/>
        <v>0</v>
      </c>
      <c r="J15" s="1">
        <f t="shared" si="8"/>
        <v>-36000</v>
      </c>
      <c r="K15" t="s">
        <v>79</v>
      </c>
      <c r="L15" t="s">
        <v>66</v>
      </c>
      <c r="N15">
        <v>2</v>
      </c>
      <c r="O15" s="1">
        <f t="shared" si="5"/>
        <v>7600</v>
      </c>
      <c r="P15" s="1">
        <f t="shared" si="6"/>
        <v>-28400</v>
      </c>
    </row>
    <row r="16" spans="1:26" x14ac:dyDescent="0.25">
      <c r="A16">
        <v>20</v>
      </c>
      <c r="B16">
        <v>20250202</v>
      </c>
      <c r="C16" s="1" t="s">
        <v>15</v>
      </c>
      <c r="D16">
        <v>1</v>
      </c>
      <c r="F16" s="1">
        <f t="shared" si="0"/>
        <v>77000</v>
      </c>
      <c r="G16" s="1">
        <f t="shared" si="1"/>
        <v>95000</v>
      </c>
      <c r="H16" s="1">
        <f t="shared" si="2"/>
        <v>0</v>
      </c>
      <c r="I16" s="2">
        <f t="shared" si="7"/>
        <v>0</v>
      </c>
      <c r="J16" s="1">
        <f t="shared" si="8"/>
        <v>-18000</v>
      </c>
      <c r="K16" t="s">
        <v>79</v>
      </c>
      <c r="L16" t="s">
        <v>66</v>
      </c>
      <c r="N16">
        <v>2</v>
      </c>
      <c r="O16" s="1">
        <f t="shared" si="5"/>
        <v>3800</v>
      </c>
      <c r="P16" s="1">
        <f t="shared" si="6"/>
        <v>-14200</v>
      </c>
    </row>
    <row r="17" spans="1:18" x14ac:dyDescent="0.25">
      <c r="A17">
        <v>21</v>
      </c>
      <c r="B17">
        <v>20250202</v>
      </c>
      <c r="C17" s="1" t="s">
        <v>15</v>
      </c>
      <c r="D17">
        <v>2</v>
      </c>
      <c r="F17" s="1">
        <f t="shared" si="0"/>
        <v>154000</v>
      </c>
      <c r="G17" s="1">
        <f t="shared" si="1"/>
        <v>190000</v>
      </c>
      <c r="H17" s="1">
        <f t="shared" si="2"/>
        <v>0</v>
      </c>
      <c r="I17" s="2">
        <f t="shared" si="7"/>
        <v>0</v>
      </c>
      <c r="J17" s="1">
        <f t="shared" si="8"/>
        <v>-36000</v>
      </c>
      <c r="K17" t="s">
        <v>79</v>
      </c>
      <c r="L17" t="s">
        <v>66</v>
      </c>
      <c r="N17">
        <v>2</v>
      </c>
      <c r="O17" s="1">
        <f t="shared" si="5"/>
        <v>7600</v>
      </c>
      <c r="P17" s="1">
        <f t="shared" si="6"/>
        <v>-28400</v>
      </c>
    </row>
    <row r="18" spans="1:18" x14ac:dyDescent="0.25">
      <c r="A18">
        <v>23</v>
      </c>
      <c r="B18">
        <v>20250202</v>
      </c>
      <c r="C18" s="1" t="s">
        <v>15</v>
      </c>
      <c r="D18">
        <v>3</v>
      </c>
      <c r="F18" s="1">
        <f t="shared" si="0"/>
        <v>231000</v>
      </c>
      <c r="G18" s="1">
        <f t="shared" si="1"/>
        <v>285000</v>
      </c>
      <c r="H18" s="1">
        <f t="shared" si="2"/>
        <v>0</v>
      </c>
      <c r="I18" s="2">
        <f t="shared" si="7"/>
        <v>0</v>
      </c>
      <c r="J18" s="1">
        <f t="shared" si="8"/>
        <v>-54000</v>
      </c>
      <c r="K18" t="s">
        <v>79</v>
      </c>
      <c r="L18" t="s">
        <v>66</v>
      </c>
      <c r="N18">
        <v>2</v>
      </c>
      <c r="O18" s="1">
        <f t="shared" si="5"/>
        <v>11400</v>
      </c>
      <c r="P18" s="1">
        <f t="shared" si="6"/>
        <v>-42600</v>
      </c>
    </row>
    <row r="19" spans="1:18" x14ac:dyDescent="0.25">
      <c r="A19">
        <v>25</v>
      </c>
      <c r="B19">
        <v>20250202</v>
      </c>
      <c r="C19" s="1" t="s">
        <v>15</v>
      </c>
      <c r="D19">
        <v>2</v>
      </c>
      <c r="F19" s="1">
        <f t="shared" si="0"/>
        <v>154000</v>
      </c>
      <c r="G19" s="1">
        <f t="shared" si="1"/>
        <v>190000</v>
      </c>
      <c r="H19" s="1">
        <f t="shared" si="2"/>
        <v>0</v>
      </c>
      <c r="I19" s="2">
        <f t="shared" si="7"/>
        <v>0</v>
      </c>
      <c r="J19" s="1">
        <f t="shared" si="8"/>
        <v>-36000</v>
      </c>
      <c r="K19" t="s">
        <v>79</v>
      </c>
      <c r="L19" t="s">
        <v>66</v>
      </c>
      <c r="N19">
        <v>2</v>
      </c>
      <c r="O19" s="1">
        <f t="shared" si="5"/>
        <v>7600</v>
      </c>
      <c r="P19" s="1">
        <f t="shared" si="6"/>
        <v>-28400</v>
      </c>
    </row>
    <row r="20" spans="1:18" x14ac:dyDescent="0.25">
      <c r="A20">
        <v>2</v>
      </c>
      <c r="B20">
        <v>20250201</v>
      </c>
      <c r="C20" s="1" t="s">
        <v>15</v>
      </c>
      <c r="D20">
        <v>4</v>
      </c>
      <c r="F20" s="1">
        <f t="shared" si="0"/>
        <v>308000</v>
      </c>
      <c r="G20" s="1">
        <f t="shared" si="1"/>
        <v>380000</v>
      </c>
      <c r="H20" s="1">
        <f t="shared" si="2"/>
        <v>0</v>
      </c>
      <c r="I20" s="2">
        <f t="shared" si="7"/>
        <v>0</v>
      </c>
      <c r="J20" s="1">
        <f t="shared" si="8"/>
        <v>-72000</v>
      </c>
      <c r="K20" t="s">
        <v>79</v>
      </c>
      <c r="L20" t="s">
        <v>66</v>
      </c>
      <c r="N20">
        <v>3</v>
      </c>
      <c r="O20" s="1">
        <f t="shared" si="5"/>
        <v>15200</v>
      </c>
      <c r="P20" s="1">
        <f t="shared" si="6"/>
        <v>-56800</v>
      </c>
    </row>
    <row r="21" spans="1:18" x14ac:dyDescent="0.25">
      <c r="A21">
        <v>16</v>
      </c>
      <c r="B21">
        <v>20250201</v>
      </c>
      <c r="C21" s="1" t="s">
        <v>15</v>
      </c>
      <c r="D21">
        <v>1</v>
      </c>
      <c r="F21" s="1">
        <f t="shared" si="0"/>
        <v>77000</v>
      </c>
      <c r="G21" s="1">
        <f t="shared" si="1"/>
        <v>95000</v>
      </c>
      <c r="H21" s="1">
        <f t="shared" si="2"/>
        <v>0</v>
      </c>
      <c r="I21" s="2">
        <f t="shared" si="7"/>
        <v>0</v>
      </c>
      <c r="J21" s="1">
        <f t="shared" si="8"/>
        <v>-18000</v>
      </c>
      <c r="K21" t="s">
        <v>79</v>
      </c>
      <c r="L21" t="s">
        <v>66</v>
      </c>
      <c r="N21">
        <v>3</v>
      </c>
      <c r="O21" s="1">
        <f t="shared" si="5"/>
        <v>3800</v>
      </c>
      <c r="P21" s="1">
        <f t="shared" si="6"/>
        <v>-14200</v>
      </c>
    </row>
    <row r="22" spans="1:18" x14ac:dyDescent="0.25">
      <c r="A22">
        <v>17</v>
      </c>
      <c r="B22">
        <v>20250201</v>
      </c>
      <c r="C22" s="1" t="s">
        <v>15</v>
      </c>
      <c r="D22">
        <v>1</v>
      </c>
      <c r="F22" s="1">
        <f t="shared" si="0"/>
        <v>77000</v>
      </c>
      <c r="G22" s="1">
        <f t="shared" si="1"/>
        <v>95000</v>
      </c>
      <c r="H22" s="1">
        <f t="shared" si="2"/>
        <v>0</v>
      </c>
      <c r="I22" s="2">
        <f t="shared" si="7"/>
        <v>0</v>
      </c>
      <c r="J22" s="1">
        <f t="shared" si="8"/>
        <v>-18000</v>
      </c>
      <c r="K22" t="s">
        <v>79</v>
      </c>
      <c r="L22" t="s">
        <v>66</v>
      </c>
      <c r="N22">
        <v>3</v>
      </c>
      <c r="O22" s="1">
        <f t="shared" si="5"/>
        <v>3800</v>
      </c>
      <c r="P22" s="1">
        <f t="shared" si="6"/>
        <v>-14200</v>
      </c>
    </row>
    <row r="23" spans="1:18" x14ac:dyDescent="0.25">
      <c r="A23">
        <v>18</v>
      </c>
      <c r="B23">
        <v>20250201</v>
      </c>
      <c r="C23" s="1" t="s">
        <v>15</v>
      </c>
      <c r="D23">
        <v>1</v>
      </c>
      <c r="F23" s="1">
        <f t="shared" si="0"/>
        <v>77000</v>
      </c>
      <c r="G23" s="1">
        <f t="shared" si="1"/>
        <v>95000</v>
      </c>
      <c r="H23" s="1">
        <f t="shared" si="2"/>
        <v>0</v>
      </c>
      <c r="I23" s="2">
        <f t="shared" si="7"/>
        <v>0</v>
      </c>
      <c r="J23" s="1">
        <f t="shared" si="8"/>
        <v>-18000</v>
      </c>
      <c r="K23" t="s">
        <v>79</v>
      </c>
      <c r="L23" t="s">
        <v>66</v>
      </c>
      <c r="N23">
        <v>3</v>
      </c>
      <c r="O23" s="1">
        <f t="shared" si="5"/>
        <v>3800</v>
      </c>
      <c r="P23" s="1">
        <f t="shared" si="6"/>
        <v>-14200</v>
      </c>
    </row>
    <row r="24" spans="1:18" x14ac:dyDescent="0.25">
      <c r="A24">
        <v>22</v>
      </c>
      <c r="B24">
        <v>20250202</v>
      </c>
      <c r="C24" s="1" t="s">
        <v>15</v>
      </c>
      <c r="D24">
        <v>1</v>
      </c>
      <c r="F24" s="1">
        <f t="shared" si="0"/>
        <v>77000</v>
      </c>
      <c r="G24" s="1">
        <f t="shared" si="1"/>
        <v>95000</v>
      </c>
      <c r="H24" s="1">
        <f t="shared" si="2"/>
        <v>0</v>
      </c>
      <c r="I24" s="2">
        <f t="shared" si="7"/>
        <v>0</v>
      </c>
      <c r="J24" s="1">
        <f t="shared" si="8"/>
        <v>-18000</v>
      </c>
      <c r="K24" t="s">
        <v>79</v>
      </c>
      <c r="L24" t="s">
        <v>66</v>
      </c>
      <c r="N24">
        <v>3</v>
      </c>
      <c r="O24" s="1">
        <f t="shared" si="5"/>
        <v>3800</v>
      </c>
      <c r="P24" s="1">
        <f t="shared" si="6"/>
        <v>-14200</v>
      </c>
    </row>
    <row r="25" spans="1:18" x14ac:dyDescent="0.25">
      <c r="A25">
        <v>24</v>
      </c>
      <c r="B25">
        <v>20250202</v>
      </c>
      <c r="C25" s="1" t="s">
        <v>15</v>
      </c>
      <c r="D25">
        <v>1</v>
      </c>
      <c r="F25" s="1">
        <f t="shared" si="0"/>
        <v>77000</v>
      </c>
      <c r="G25" s="1">
        <f t="shared" si="1"/>
        <v>95000</v>
      </c>
      <c r="H25" s="1">
        <f t="shared" si="2"/>
        <v>0</v>
      </c>
      <c r="I25" s="2">
        <f t="shared" si="7"/>
        <v>0</v>
      </c>
      <c r="J25" s="1">
        <f t="shared" si="8"/>
        <v>-18000</v>
      </c>
      <c r="K25" t="s">
        <v>79</v>
      </c>
      <c r="L25" t="s">
        <v>66</v>
      </c>
      <c r="N25">
        <v>3</v>
      </c>
      <c r="O25" s="1">
        <f t="shared" si="5"/>
        <v>3800</v>
      </c>
      <c r="P25" s="1">
        <f t="shared" si="6"/>
        <v>-14200</v>
      </c>
    </row>
    <row r="26" spans="1:18" x14ac:dyDescent="0.25">
      <c r="A26">
        <v>10</v>
      </c>
      <c r="B26">
        <v>20250201</v>
      </c>
      <c r="C26" s="1" t="s">
        <v>15</v>
      </c>
      <c r="D26">
        <v>3</v>
      </c>
      <c r="F26" s="1">
        <f t="shared" si="0"/>
        <v>231000</v>
      </c>
      <c r="G26" s="1">
        <f t="shared" si="1"/>
        <v>285000</v>
      </c>
      <c r="H26" s="1">
        <f t="shared" si="2"/>
        <v>0</v>
      </c>
      <c r="I26" s="2">
        <f t="shared" si="7"/>
        <v>0</v>
      </c>
      <c r="J26" s="1">
        <f t="shared" si="8"/>
        <v>-54000</v>
      </c>
      <c r="K26" t="s">
        <v>79</v>
      </c>
      <c r="L26" t="s">
        <v>138</v>
      </c>
      <c r="O26" s="1" t="str">
        <f t="shared" si="5"/>
        <v/>
      </c>
      <c r="P26" s="1" t="str">
        <f t="shared" si="6"/>
        <v/>
      </c>
    </row>
    <row r="27" spans="1:18" x14ac:dyDescent="0.25">
      <c r="C27" s="1"/>
      <c r="F27" s="1"/>
      <c r="G27" s="1"/>
      <c r="H27" s="1">
        <f t="shared" si="2"/>
        <v>0</v>
      </c>
      <c r="I27" s="2">
        <f t="shared" si="7"/>
        <v>0</v>
      </c>
      <c r="J27" s="1">
        <f t="shared" si="8"/>
        <v>0</v>
      </c>
      <c r="O27" s="1" t="str">
        <f t="shared" si="5"/>
        <v/>
      </c>
      <c r="P27" s="1"/>
    </row>
    <row r="28" spans="1:18" x14ac:dyDescent="0.25">
      <c r="C28" s="1"/>
      <c r="F28" s="1"/>
      <c r="G28" s="1"/>
      <c r="H28" s="1">
        <f t="shared" si="2"/>
        <v>0</v>
      </c>
      <c r="I28" s="2">
        <f t="shared" si="7"/>
        <v>0</v>
      </c>
      <c r="J28" s="1">
        <f t="shared" si="8"/>
        <v>0</v>
      </c>
      <c r="O28" s="1" t="str">
        <f t="shared" si="5"/>
        <v/>
      </c>
      <c r="P28" s="1" t="str">
        <f t="shared" si="6"/>
        <v/>
      </c>
    </row>
    <row r="29" spans="1:18" x14ac:dyDescent="0.25">
      <c r="C29" s="1"/>
      <c r="F29" s="1"/>
      <c r="G29" s="1"/>
      <c r="H29" s="1">
        <f t="shared" si="2"/>
        <v>0</v>
      </c>
      <c r="I29" s="2">
        <f t="shared" si="7"/>
        <v>0</v>
      </c>
      <c r="J29" s="1">
        <f t="shared" si="8"/>
        <v>0</v>
      </c>
      <c r="O29" s="1" t="str">
        <f t="shared" si="5"/>
        <v/>
      </c>
      <c r="P29" s="1" t="str">
        <f t="shared" si="6"/>
        <v/>
      </c>
      <c r="R29" s="5"/>
    </row>
    <row r="30" spans="1:18" x14ac:dyDescent="0.25">
      <c r="C30" s="1"/>
      <c r="F30" s="1"/>
      <c r="G30" s="1"/>
      <c r="H30" s="1">
        <f t="shared" si="2"/>
        <v>0</v>
      </c>
      <c r="I30" s="2">
        <f t="shared" si="7"/>
        <v>0</v>
      </c>
      <c r="J30" s="1">
        <f t="shared" si="8"/>
        <v>0</v>
      </c>
      <c r="O30" s="1" t="str">
        <f t="shared" si="5"/>
        <v/>
      </c>
      <c r="P30" s="1" t="str">
        <f t="shared" si="6"/>
        <v/>
      </c>
    </row>
    <row r="31" spans="1:18" x14ac:dyDescent="0.25">
      <c r="C31" s="1"/>
      <c r="F31" s="1"/>
      <c r="G31" s="1"/>
      <c r="H31" s="1">
        <f t="shared" si="2"/>
        <v>0</v>
      </c>
      <c r="I31" s="2">
        <f t="shared" si="7"/>
        <v>0</v>
      </c>
      <c r="J31" s="1">
        <f t="shared" si="8"/>
        <v>0</v>
      </c>
      <c r="O31" s="1" t="str">
        <f t="shared" si="5"/>
        <v/>
      </c>
      <c r="P31" s="1" t="str">
        <f t="shared" si="6"/>
        <v/>
      </c>
    </row>
    <row r="32" spans="1:18" x14ac:dyDescent="0.25">
      <c r="C32" s="1"/>
      <c r="F32" s="1"/>
      <c r="G32" s="1"/>
      <c r="H32" s="1">
        <f t="shared" si="2"/>
        <v>0</v>
      </c>
      <c r="I32" s="2">
        <f t="shared" si="7"/>
        <v>0</v>
      </c>
      <c r="J32" s="1">
        <f t="shared" si="8"/>
        <v>0</v>
      </c>
      <c r="O32" s="1" t="str">
        <f t="shared" si="5"/>
        <v/>
      </c>
      <c r="P32" s="1" t="str">
        <f t="shared" si="6"/>
        <v/>
      </c>
    </row>
    <row r="33" spans="3:16" x14ac:dyDescent="0.25">
      <c r="C33" s="1"/>
      <c r="F33" s="1"/>
      <c r="G33" s="1"/>
      <c r="H33" s="1">
        <f t="shared" si="2"/>
        <v>0</v>
      </c>
      <c r="I33" s="2">
        <f t="shared" si="7"/>
        <v>0</v>
      </c>
      <c r="J33" s="1">
        <f t="shared" si="8"/>
        <v>0</v>
      </c>
      <c r="O33" s="1" t="str">
        <f t="shared" si="5"/>
        <v/>
      </c>
      <c r="P33" s="1" t="str">
        <f t="shared" si="6"/>
        <v/>
      </c>
    </row>
    <row r="34" spans="3:16" x14ac:dyDescent="0.25">
      <c r="C34" s="1"/>
      <c r="F34" s="1"/>
      <c r="G34" s="1"/>
      <c r="H34" s="1">
        <f t="shared" ref="H34:H65" si="9">IF(OR(ISBLANK(G34), ISBLANK(E34), E34=0), 0, G34 - (G34 * E34 / 100))</f>
        <v>0</v>
      </c>
      <c r="I34" s="2">
        <f t="shared" si="7"/>
        <v>0</v>
      </c>
      <c r="J34" s="1">
        <f t="shared" si="8"/>
        <v>0</v>
      </c>
      <c r="O34" s="1" t="str">
        <f t="shared" si="5"/>
        <v/>
      </c>
      <c r="P34" s="1" t="str">
        <f t="shared" si="6"/>
        <v/>
      </c>
    </row>
    <row r="35" spans="3:16" x14ac:dyDescent="0.25">
      <c r="C35" s="1"/>
      <c r="F35" s="1"/>
      <c r="G35" s="1"/>
      <c r="H35" s="1">
        <f t="shared" si="9"/>
        <v>0</v>
      </c>
      <c r="I35" s="2">
        <f t="shared" si="7"/>
        <v>0</v>
      </c>
      <c r="J35" s="1">
        <f t="shared" si="8"/>
        <v>0</v>
      </c>
      <c r="O35" s="1" t="str">
        <f t="shared" si="5"/>
        <v/>
      </c>
      <c r="P35" s="1" t="str">
        <f t="shared" si="6"/>
        <v/>
      </c>
    </row>
    <row r="36" spans="3:16" x14ac:dyDescent="0.25">
      <c r="C36" s="1"/>
      <c r="F36" s="1"/>
      <c r="G36" s="1"/>
      <c r="H36" s="1">
        <f t="shared" si="9"/>
        <v>0</v>
      </c>
      <c r="I36" s="2">
        <f t="shared" si="7"/>
        <v>0</v>
      </c>
      <c r="J36" s="1">
        <f t="shared" si="8"/>
        <v>0</v>
      </c>
      <c r="O36" s="1" t="str">
        <f t="shared" si="5"/>
        <v/>
      </c>
      <c r="P36" s="1" t="str">
        <f t="shared" si="6"/>
        <v/>
      </c>
    </row>
    <row r="37" spans="3:16" x14ac:dyDescent="0.25">
      <c r="C37" s="1"/>
      <c r="F37" s="1"/>
      <c r="G37" s="1"/>
      <c r="H37" s="1">
        <f t="shared" si="9"/>
        <v>0</v>
      </c>
      <c r="I37" s="2">
        <f t="shared" si="7"/>
        <v>0</v>
      </c>
      <c r="J37" s="1">
        <f t="shared" si="8"/>
        <v>0</v>
      </c>
      <c r="O37" s="1" t="str">
        <f t="shared" si="5"/>
        <v/>
      </c>
      <c r="P37" s="1" t="str">
        <f t="shared" si="6"/>
        <v/>
      </c>
    </row>
    <row r="38" spans="3:16" x14ac:dyDescent="0.25">
      <c r="C38" s="1"/>
      <c r="F38" s="1"/>
      <c r="G38" s="1"/>
      <c r="H38" s="1">
        <f t="shared" si="9"/>
        <v>0</v>
      </c>
      <c r="I38" s="2">
        <f t="shared" si="7"/>
        <v>0</v>
      </c>
      <c r="J38" s="1">
        <f t="shared" si="8"/>
        <v>0</v>
      </c>
      <c r="O38" s="1" t="str">
        <f t="shared" si="5"/>
        <v/>
      </c>
      <c r="P38" s="1" t="str">
        <f t="shared" si="6"/>
        <v/>
      </c>
    </row>
    <row r="39" spans="3:16" x14ac:dyDescent="0.25">
      <c r="C39" s="1"/>
      <c r="F39" s="1"/>
      <c r="G39" s="1"/>
      <c r="H39" s="1">
        <f t="shared" si="9"/>
        <v>0</v>
      </c>
      <c r="I39" s="2">
        <f t="shared" si="7"/>
        <v>0</v>
      </c>
      <c r="J39" s="1">
        <f t="shared" si="8"/>
        <v>0</v>
      </c>
      <c r="O39" s="1" t="str">
        <f t="shared" si="5"/>
        <v/>
      </c>
      <c r="P39" s="1" t="str">
        <f t="shared" si="6"/>
        <v/>
      </c>
    </row>
    <row r="40" spans="3:16" x14ac:dyDescent="0.25">
      <c r="C40" s="1"/>
      <c r="F40" s="1"/>
      <c r="G40" s="1"/>
      <c r="H40" s="1">
        <f t="shared" si="9"/>
        <v>0</v>
      </c>
      <c r="I40" s="2">
        <f t="shared" si="7"/>
        <v>0</v>
      </c>
      <c r="J40" s="1">
        <f t="shared" si="8"/>
        <v>0</v>
      </c>
      <c r="O40" s="1" t="str">
        <f t="shared" si="5"/>
        <v/>
      </c>
      <c r="P40" s="1" t="str">
        <f t="shared" si="6"/>
        <v/>
      </c>
    </row>
    <row r="41" spans="3:16" x14ac:dyDescent="0.25">
      <c r="C41" s="1"/>
      <c r="F41" s="1"/>
      <c r="G41" s="1"/>
      <c r="H41" s="1">
        <f t="shared" si="9"/>
        <v>0</v>
      </c>
      <c r="I41" s="2">
        <f t="shared" si="7"/>
        <v>0</v>
      </c>
      <c r="J41" s="1">
        <f t="shared" si="8"/>
        <v>0</v>
      </c>
      <c r="O41" s="1" t="str">
        <f t="shared" si="5"/>
        <v/>
      </c>
      <c r="P41" s="1" t="str">
        <f t="shared" si="6"/>
        <v/>
      </c>
    </row>
    <row r="42" spans="3:16" x14ac:dyDescent="0.25">
      <c r="C42" s="1"/>
      <c r="F42" s="1"/>
      <c r="G42" s="1"/>
      <c r="H42" s="1">
        <f t="shared" si="9"/>
        <v>0</v>
      </c>
      <c r="I42" s="2">
        <f t="shared" si="7"/>
        <v>0</v>
      </c>
      <c r="J42" s="1">
        <f t="shared" si="8"/>
        <v>0</v>
      </c>
      <c r="O42" s="1" t="str">
        <f t="shared" si="5"/>
        <v/>
      </c>
      <c r="P42" s="1" t="str">
        <f t="shared" si="6"/>
        <v/>
      </c>
    </row>
    <row r="43" spans="3:16" x14ac:dyDescent="0.25">
      <c r="C43" s="1"/>
      <c r="F43" s="1"/>
      <c r="G43" s="1"/>
      <c r="H43" s="1">
        <f t="shared" si="9"/>
        <v>0</v>
      </c>
      <c r="I43" s="2">
        <f t="shared" ref="I43:I74" si="10">IF(OR(ISBLANK(G43), ISBLANK(H43), H43=0), 0, G43 - H43)</f>
        <v>0</v>
      </c>
      <c r="J43" s="1">
        <f t="shared" ref="J43:J74" si="11">F43-G43+I43</f>
        <v>0</v>
      </c>
      <c r="O43" s="1" t="str">
        <f t="shared" si="5"/>
        <v/>
      </c>
      <c r="P43" s="1" t="str">
        <f t="shared" si="6"/>
        <v/>
      </c>
    </row>
    <row r="44" spans="3:16" x14ac:dyDescent="0.25">
      <c r="C44" s="1"/>
      <c r="F44" s="1"/>
      <c r="G44" s="1"/>
      <c r="H44" s="1">
        <f t="shared" si="9"/>
        <v>0</v>
      </c>
      <c r="I44" s="2">
        <f t="shared" si="10"/>
        <v>0</v>
      </c>
      <c r="J44" s="1">
        <f t="shared" si="11"/>
        <v>0</v>
      </c>
      <c r="O44" s="1" t="str">
        <f t="shared" si="5"/>
        <v/>
      </c>
      <c r="P44" s="1" t="str">
        <f t="shared" si="6"/>
        <v/>
      </c>
    </row>
    <row r="45" spans="3:16" x14ac:dyDescent="0.25">
      <c r="C45" s="1"/>
      <c r="F45" s="1"/>
      <c r="G45" s="1"/>
      <c r="H45" s="1">
        <f t="shared" si="9"/>
        <v>0</v>
      </c>
      <c r="I45" s="2">
        <f t="shared" si="10"/>
        <v>0</v>
      </c>
      <c r="J45" s="1">
        <f t="shared" si="11"/>
        <v>0</v>
      </c>
      <c r="O45" s="1" t="str">
        <f t="shared" si="5"/>
        <v/>
      </c>
      <c r="P45" s="1" t="str">
        <f t="shared" si="6"/>
        <v/>
      </c>
    </row>
    <row r="46" spans="3:16" x14ac:dyDescent="0.25">
      <c r="C46" s="1"/>
      <c r="F46" s="1"/>
      <c r="G46" s="1"/>
      <c r="H46" s="1">
        <f t="shared" si="9"/>
        <v>0</v>
      </c>
      <c r="I46" s="2">
        <f t="shared" si="10"/>
        <v>0</v>
      </c>
      <c r="J46" s="1">
        <f t="shared" si="11"/>
        <v>0</v>
      </c>
      <c r="O46" s="1" t="str">
        <f t="shared" si="5"/>
        <v/>
      </c>
      <c r="P46" s="1" t="str">
        <f t="shared" si="6"/>
        <v/>
      </c>
    </row>
    <row r="47" spans="3:16" x14ac:dyDescent="0.25">
      <c r="C47" s="1"/>
      <c r="F47" s="1"/>
      <c r="G47" s="1"/>
      <c r="H47" s="1">
        <f t="shared" si="9"/>
        <v>0</v>
      </c>
      <c r="I47" s="2">
        <f t="shared" si="10"/>
        <v>0</v>
      </c>
      <c r="J47" s="1">
        <f t="shared" si="11"/>
        <v>0</v>
      </c>
      <c r="O47" s="1" t="str">
        <f t="shared" si="5"/>
        <v/>
      </c>
      <c r="P47" s="1" t="str">
        <f t="shared" si="6"/>
        <v/>
      </c>
    </row>
    <row r="48" spans="3:16" x14ac:dyDescent="0.25">
      <c r="C48" s="1"/>
      <c r="F48" s="1"/>
      <c r="G48" s="1"/>
      <c r="H48" s="1">
        <f t="shared" si="9"/>
        <v>0</v>
      </c>
      <c r="I48" s="2">
        <f t="shared" si="10"/>
        <v>0</v>
      </c>
      <c r="J48" s="1">
        <f t="shared" si="11"/>
        <v>0</v>
      </c>
      <c r="O48" s="1" t="str">
        <f t="shared" si="5"/>
        <v/>
      </c>
      <c r="P48" s="1" t="str">
        <f t="shared" si="6"/>
        <v/>
      </c>
    </row>
    <row r="49" spans="3:16" x14ac:dyDescent="0.25">
      <c r="C49" s="1"/>
      <c r="F49" s="1"/>
      <c r="G49" s="1"/>
      <c r="H49" s="1">
        <f t="shared" si="9"/>
        <v>0</v>
      </c>
      <c r="I49" s="2">
        <f t="shared" si="10"/>
        <v>0</v>
      </c>
      <c r="J49" s="1">
        <f t="shared" si="11"/>
        <v>0</v>
      </c>
      <c r="O49" s="1" t="str">
        <f t="shared" si="5"/>
        <v/>
      </c>
      <c r="P49" s="1" t="str">
        <f t="shared" si="6"/>
        <v/>
      </c>
    </row>
    <row r="50" spans="3:16" x14ac:dyDescent="0.25">
      <c r="C50" s="1"/>
      <c r="F50" s="1"/>
      <c r="G50" s="1"/>
      <c r="H50" s="1">
        <f t="shared" si="9"/>
        <v>0</v>
      </c>
      <c r="I50" s="2">
        <f t="shared" si="10"/>
        <v>0</v>
      </c>
      <c r="J50" s="1">
        <f t="shared" si="11"/>
        <v>0</v>
      </c>
      <c r="O50" s="1" t="str">
        <f t="shared" si="5"/>
        <v/>
      </c>
      <c r="P50" s="1" t="str">
        <f t="shared" si="6"/>
        <v/>
      </c>
    </row>
    <row r="51" spans="3:16" x14ac:dyDescent="0.25">
      <c r="C51" s="1"/>
      <c r="F51" s="1"/>
      <c r="G51" s="1"/>
      <c r="H51" s="1">
        <f t="shared" si="9"/>
        <v>0</v>
      </c>
      <c r="I51" s="2">
        <f t="shared" si="10"/>
        <v>0</v>
      </c>
      <c r="J51" s="1">
        <f t="shared" si="11"/>
        <v>0</v>
      </c>
      <c r="O51" s="1" t="str">
        <f t="shared" si="5"/>
        <v/>
      </c>
      <c r="P51" s="1" t="str">
        <f t="shared" si="6"/>
        <v/>
      </c>
    </row>
    <row r="52" spans="3:16" x14ac:dyDescent="0.25">
      <c r="C52" s="1"/>
      <c r="F52" s="1"/>
      <c r="G52" s="1"/>
      <c r="H52" s="1">
        <f t="shared" si="9"/>
        <v>0</v>
      </c>
      <c r="I52" s="2">
        <f t="shared" si="10"/>
        <v>0</v>
      </c>
      <c r="J52" s="1">
        <f t="shared" si="11"/>
        <v>0</v>
      </c>
      <c r="O52" s="1" t="str">
        <f t="shared" si="5"/>
        <v/>
      </c>
      <c r="P52" s="1" t="str">
        <f t="shared" si="6"/>
        <v/>
      </c>
    </row>
    <row r="53" spans="3:16" x14ac:dyDescent="0.25">
      <c r="C53" s="1"/>
      <c r="F53" s="1"/>
      <c r="G53" s="1"/>
      <c r="H53" s="1">
        <f t="shared" si="9"/>
        <v>0</v>
      </c>
      <c r="I53" s="2">
        <f t="shared" si="10"/>
        <v>0</v>
      </c>
      <c r="J53" s="1">
        <f t="shared" si="11"/>
        <v>0</v>
      </c>
      <c r="O53" s="1" t="str">
        <f t="shared" si="5"/>
        <v/>
      </c>
      <c r="P53" s="1" t="str">
        <f t="shared" si="6"/>
        <v/>
      </c>
    </row>
    <row r="54" spans="3:16" x14ac:dyDescent="0.25">
      <c r="C54" s="1"/>
      <c r="F54" s="1"/>
      <c r="G54" s="1"/>
      <c r="H54" s="1">
        <f t="shared" si="9"/>
        <v>0</v>
      </c>
      <c r="I54" s="2">
        <f t="shared" si="10"/>
        <v>0</v>
      </c>
      <c r="J54" s="1">
        <f t="shared" si="11"/>
        <v>0</v>
      </c>
      <c r="O54" s="1" t="str">
        <f t="shared" si="5"/>
        <v/>
      </c>
      <c r="P54" s="1" t="str">
        <f t="shared" si="6"/>
        <v/>
      </c>
    </row>
    <row r="55" spans="3:16" x14ac:dyDescent="0.25">
      <c r="C55" s="1"/>
      <c r="F55" s="1"/>
      <c r="G55" s="1"/>
      <c r="H55" s="1">
        <f t="shared" si="9"/>
        <v>0</v>
      </c>
      <c r="I55" s="2">
        <f t="shared" si="10"/>
        <v>0</v>
      </c>
      <c r="J55" s="1">
        <f t="shared" si="11"/>
        <v>0</v>
      </c>
      <c r="O55" s="1" t="str">
        <f t="shared" si="5"/>
        <v/>
      </c>
      <c r="P55" s="1" t="str">
        <f t="shared" si="6"/>
        <v/>
      </c>
    </row>
    <row r="56" spans="3:16" x14ac:dyDescent="0.25">
      <c r="C56" s="1"/>
      <c r="F56" s="1"/>
      <c r="G56" s="1"/>
      <c r="H56" s="1">
        <f t="shared" si="9"/>
        <v>0</v>
      </c>
      <c r="I56" s="2">
        <f t="shared" si="10"/>
        <v>0</v>
      </c>
      <c r="J56" s="1">
        <f t="shared" si="11"/>
        <v>0</v>
      </c>
      <c r="O56" s="1" t="str">
        <f t="shared" si="5"/>
        <v/>
      </c>
      <c r="P56" s="1" t="str">
        <f t="shared" si="6"/>
        <v/>
      </c>
    </row>
    <row r="57" spans="3:16" x14ac:dyDescent="0.25">
      <c r="C57" s="1"/>
      <c r="F57" s="1"/>
      <c r="G57" s="1"/>
      <c r="H57" s="1">
        <f t="shared" si="9"/>
        <v>0</v>
      </c>
      <c r="I57" s="2">
        <f t="shared" si="10"/>
        <v>0</v>
      </c>
      <c r="J57" s="1">
        <f t="shared" si="11"/>
        <v>0</v>
      </c>
      <c r="O57" s="1" t="str">
        <f t="shared" si="5"/>
        <v/>
      </c>
      <c r="P57" s="1" t="str">
        <f t="shared" si="6"/>
        <v/>
      </c>
    </row>
    <row r="58" spans="3:16" x14ac:dyDescent="0.25">
      <c r="C58" s="1"/>
      <c r="F58" s="1"/>
      <c r="G58" s="1"/>
      <c r="H58" s="1">
        <f t="shared" si="9"/>
        <v>0</v>
      </c>
      <c r="I58" s="2">
        <f t="shared" si="10"/>
        <v>0</v>
      </c>
      <c r="J58" s="1">
        <f t="shared" si="11"/>
        <v>0</v>
      </c>
      <c r="O58" s="1" t="str">
        <f t="shared" si="5"/>
        <v/>
      </c>
      <c r="P58" s="1" t="str">
        <f t="shared" si="6"/>
        <v/>
      </c>
    </row>
    <row r="59" spans="3:16" x14ac:dyDescent="0.25">
      <c r="C59" s="1"/>
      <c r="F59" s="1"/>
      <c r="G59" s="1"/>
      <c r="H59" s="1">
        <f t="shared" si="9"/>
        <v>0</v>
      </c>
      <c r="I59" s="2">
        <f t="shared" si="10"/>
        <v>0</v>
      </c>
      <c r="J59" s="1">
        <f t="shared" si="11"/>
        <v>0</v>
      </c>
      <c r="O59" s="1" t="str">
        <f t="shared" si="5"/>
        <v/>
      </c>
      <c r="P59" s="1" t="str">
        <f t="shared" si="6"/>
        <v/>
      </c>
    </row>
    <row r="60" spans="3:16" x14ac:dyDescent="0.25">
      <c r="C60" s="1"/>
      <c r="F60" s="1"/>
      <c r="G60" s="1"/>
      <c r="H60" s="1">
        <f t="shared" si="9"/>
        <v>0</v>
      </c>
      <c r="I60" s="2">
        <f t="shared" si="10"/>
        <v>0</v>
      </c>
      <c r="J60" s="1">
        <f t="shared" si="11"/>
        <v>0</v>
      </c>
      <c r="O60" s="1" t="str">
        <f t="shared" si="5"/>
        <v/>
      </c>
      <c r="P60" s="1" t="str">
        <f t="shared" si="6"/>
        <v/>
      </c>
    </row>
    <row r="61" spans="3:16" x14ac:dyDescent="0.25">
      <c r="C61" s="1"/>
      <c r="F61" s="1"/>
      <c r="G61" s="1"/>
      <c r="H61" s="1">
        <f t="shared" si="9"/>
        <v>0</v>
      </c>
      <c r="I61" s="2">
        <f t="shared" si="10"/>
        <v>0</v>
      </c>
      <c r="J61" s="1">
        <f t="shared" si="11"/>
        <v>0</v>
      </c>
      <c r="O61" s="1" t="str">
        <f t="shared" si="5"/>
        <v/>
      </c>
      <c r="P61" s="1" t="str">
        <f t="shared" si="6"/>
        <v/>
      </c>
    </row>
    <row r="62" spans="3:16" x14ac:dyDescent="0.25">
      <c r="C62" s="1"/>
      <c r="F62" s="1"/>
      <c r="G62" s="1"/>
      <c r="H62" s="1">
        <f t="shared" si="9"/>
        <v>0</v>
      </c>
      <c r="I62" s="2">
        <f t="shared" si="10"/>
        <v>0</v>
      </c>
      <c r="J62" s="1">
        <f t="shared" si="11"/>
        <v>0</v>
      </c>
      <c r="O62" s="1" t="str">
        <f t="shared" si="5"/>
        <v/>
      </c>
      <c r="P62" s="1" t="str">
        <f t="shared" si="6"/>
        <v/>
      </c>
    </row>
    <row r="63" spans="3:16" x14ac:dyDescent="0.25">
      <c r="C63" s="1"/>
      <c r="F63" s="1"/>
      <c r="G63" s="1"/>
      <c r="H63" s="1">
        <f t="shared" si="9"/>
        <v>0</v>
      </c>
      <c r="I63" s="2">
        <f t="shared" si="10"/>
        <v>0</v>
      </c>
      <c r="J63" s="1">
        <f t="shared" si="11"/>
        <v>0</v>
      </c>
      <c r="O63" s="1" t="str">
        <f t="shared" si="5"/>
        <v/>
      </c>
      <c r="P63" s="1" t="str">
        <f t="shared" si="6"/>
        <v/>
      </c>
    </row>
    <row r="64" spans="3:16" x14ac:dyDescent="0.25">
      <c r="C64" s="1"/>
      <c r="F64" s="1"/>
      <c r="G64" s="1"/>
      <c r="H64" s="1">
        <f t="shared" si="9"/>
        <v>0</v>
      </c>
      <c r="I64" s="2">
        <f t="shared" si="10"/>
        <v>0</v>
      </c>
      <c r="J64" s="1">
        <f t="shared" si="11"/>
        <v>0</v>
      </c>
      <c r="O64" s="1" t="str">
        <f t="shared" si="5"/>
        <v/>
      </c>
      <c r="P64" s="1" t="str">
        <f t="shared" si="6"/>
        <v/>
      </c>
    </row>
    <row r="65" spans="3:16" x14ac:dyDescent="0.25">
      <c r="C65" s="1"/>
      <c r="F65" s="1"/>
      <c r="G65" s="1"/>
      <c r="H65" s="1">
        <f t="shared" si="9"/>
        <v>0</v>
      </c>
      <c r="I65" s="2">
        <f t="shared" si="10"/>
        <v>0</v>
      </c>
      <c r="J65" s="1">
        <f t="shared" si="11"/>
        <v>0</v>
      </c>
      <c r="O65" s="1" t="str">
        <f t="shared" si="5"/>
        <v/>
      </c>
      <c r="P65" s="1" t="str">
        <f t="shared" si="6"/>
        <v/>
      </c>
    </row>
    <row r="66" spans="3:16" x14ac:dyDescent="0.25">
      <c r="C66" s="1"/>
      <c r="F66" s="1"/>
      <c r="G66" s="1"/>
      <c r="H66" s="1">
        <f t="shared" ref="H66:H97" si="12">IF(OR(ISBLANK(G66), ISBLANK(E66), E66=0), 0, G66 - (G66 * E66 / 100))</f>
        <v>0</v>
      </c>
      <c r="I66" s="2">
        <f t="shared" si="10"/>
        <v>0</v>
      </c>
      <c r="J66" s="1">
        <f t="shared" si="11"/>
        <v>0</v>
      </c>
      <c r="O66" s="1" t="str">
        <f t="shared" si="5"/>
        <v/>
      </c>
      <c r="P66" s="1" t="str">
        <f t="shared" si="6"/>
        <v/>
      </c>
    </row>
    <row r="67" spans="3:16" x14ac:dyDescent="0.25">
      <c r="C67" s="1"/>
      <c r="F67" s="1"/>
      <c r="G67" s="1"/>
      <c r="H67" s="1">
        <f t="shared" si="12"/>
        <v>0</v>
      </c>
      <c r="I67" s="2">
        <f t="shared" si="10"/>
        <v>0</v>
      </c>
      <c r="J67" s="1">
        <f t="shared" si="11"/>
        <v>0</v>
      </c>
      <c r="O67" s="1" t="str">
        <f t="shared" ref="O67:O100" si="13">IF(L67="Pesanan Selesai", G67*0.04, "")</f>
        <v/>
      </c>
      <c r="P67" s="1" t="str">
        <f t="shared" ref="P67:P100" si="14">IF(L67="Pesanan Selesai", J67+O67, "")</f>
        <v/>
      </c>
    </row>
    <row r="68" spans="3:16" x14ac:dyDescent="0.25">
      <c r="C68" s="1"/>
      <c r="F68" s="1"/>
      <c r="G68" s="1"/>
      <c r="H68" s="1">
        <f t="shared" si="12"/>
        <v>0</v>
      </c>
      <c r="I68" s="2">
        <f t="shared" si="10"/>
        <v>0</v>
      </c>
      <c r="J68" s="1">
        <f t="shared" si="11"/>
        <v>0</v>
      </c>
      <c r="O68" s="1" t="str">
        <f t="shared" si="13"/>
        <v/>
      </c>
      <c r="P68" s="1" t="str">
        <f t="shared" si="14"/>
        <v/>
      </c>
    </row>
    <row r="69" spans="3:16" x14ac:dyDescent="0.25">
      <c r="C69" s="1"/>
      <c r="F69" s="1"/>
      <c r="G69" s="1"/>
      <c r="H69" s="1">
        <f t="shared" si="12"/>
        <v>0</v>
      </c>
      <c r="I69" s="2">
        <f t="shared" si="10"/>
        <v>0</v>
      </c>
      <c r="J69" s="1">
        <f t="shared" si="11"/>
        <v>0</v>
      </c>
      <c r="O69" s="1" t="str">
        <f t="shared" si="13"/>
        <v/>
      </c>
      <c r="P69" s="1" t="str">
        <f t="shared" si="14"/>
        <v/>
      </c>
    </row>
    <row r="70" spans="3:16" x14ac:dyDescent="0.25">
      <c r="C70" s="1"/>
      <c r="F70" s="1"/>
      <c r="G70" s="1"/>
      <c r="H70" s="1">
        <f t="shared" si="12"/>
        <v>0</v>
      </c>
      <c r="I70" s="2">
        <f t="shared" si="10"/>
        <v>0</v>
      </c>
      <c r="J70" s="1">
        <f t="shared" si="11"/>
        <v>0</v>
      </c>
      <c r="O70" s="1" t="str">
        <f t="shared" si="13"/>
        <v/>
      </c>
      <c r="P70" s="1" t="str">
        <f t="shared" si="14"/>
        <v/>
      </c>
    </row>
    <row r="71" spans="3:16" x14ac:dyDescent="0.25">
      <c r="C71" s="1"/>
      <c r="F71" s="1"/>
      <c r="G71" s="1"/>
      <c r="H71" s="1">
        <f t="shared" si="12"/>
        <v>0</v>
      </c>
      <c r="I71" s="2">
        <f t="shared" si="10"/>
        <v>0</v>
      </c>
      <c r="J71" s="1">
        <f t="shared" si="11"/>
        <v>0</v>
      </c>
      <c r="O71" s="1" t="str">
        <f t="shared" si="13"/>
        <v/>
      </c>
      <c r="P71" s="1" t="str">
        <f t="shared" si="14"/>
        <v/>
      </c>
    </row>
    <row r="72" spans="3:16" x14ac:dyDescent="0.25">
      <c r="C72" s="1"/>
      <c r="F72" s="1"/>
      <c r="G72" s="1"/>
      <c r="H72" s="1">
        <f t="shared" si="12"/>
        <v>0</v>
      </c>
      <c r="I72" s="2">
        <f t="shared" si="10"/>
        <v>0</v>
      </c>
      <c r="J72" s="1">
        <f t="shared" si="11"/>
        <v>0</v>
      </c>
      <c r="O72" s="1" t="str">
        <f t="shared" si="13"/>
        <v/>
      </c>
      <c r="P72" s="1" t="str">
        <f t="shared" si="14"/>
        <v/>
      </c>
    </row>
    <row r="73" spans="3:16" x14ac:dyDescent="0.25">
      <c r="C73" s="1"/>
      <c r="F73" s="1"/>
      <c r="G73" s="1"/>
      <c r="H73" s="1">
        <f t="shared" si="12"/>
        <v>0</v>
      </c>
      <c r="I73" s="2">
        <f t="shared" si="10"/>
        <v>0</v>
      </c>
      <c r="J73" s="1">
        <f t="shared" si="11"/>
        <v>0</v>
      </c>
      <c r="O73" s="1" t="str">
        <f t="shared" si="13"/>
        <v/>
      </c>
      <c r="P73" s="1" t="str">
        <f t="shared" si="14"/>
        <v/>
      </c>
    </row>
    <row r="74" spans="3:16" x14ac:dyDescent="0.25">
      <c r="C74" s="1"/>
      <c r="F74" s="1"/>
      <c r="G74" s="1"/>
      <c r="H74" s="1">
        <f t="shared" si="12"/>
        <v>0</v>
      </c>
      <c r="I74" s="2">
        <f t="shared" si="10"/>
        <v>0</v>
      </c>
      <c r="J74" s="1">
        <f t="shared" si="11"/>
        <v>0</v>
      </c>
      <c r="O74" s="1" t="str">
        <f t="shared" si="13"/>
        <v/>
      </c>
      <c r="P74" s="1" t="str">
        <f t="shared" si="14"/>
        <v/>
      </c>
    </row>
    <row r="75" spans="3:16" x14ac:dyDescent="0.25">
      <c r="C75" s="1"/>
      <c r="F75" s="1"/>
      <c r="G75" s="1"/>
      <c r="H75" s="1">
        <f t="shared" si="12"/>
        <v>0</v>
      </c>
      <c r="I75" s="2">
        <f t="shared" ref="I75:I100" si="15">IF(OR(ISBLANK(G75), ISBLANK(H75), H75=0), 0, G75 - H75)</f>
        <v>0</v>
      </c>
      <c r="J75" s="1">
        <f t="shared" ref="J75:J100" si="16">F75-G75+I75</f>
        <v>0</v>
      </c>
      <c r="O75" s="1" t="str">
        <f t="shared" si="13"/>
        <v/>
      </c>
      <c r="P75" s="1" t="str">
        <f t="shared" si="14"/>
        <v/>
      </c>
    </row>
    <row r="76" spans="3:16" x14ac:dyDescent="0.25">
      <c r="C76" s="1"/>
      <c r="F76" s="1"/>
      <c r="G76" s="1"/>
      <c r="H76" s="1">
        <f t="shared" si="12"/>
        <v>0</v>
      </c>
      <c r="I76" s="2">
        <f t="shared" si="15"/>
        <v>0</v>
      </c>
      <c r="J76" s="1">
        <f t="shared" si="16"/>
        <v>0</v>
      </c>
      <c r="O76" s="1" t="str">
        <f t="shared" si="13"/>
        <v/>
      </c>
      <c r="P76" s="1" t="str">
        <f t="shared" si="14"/>
        <v/>
      </c>
    </row>
    <row r="77" spans="3:16" x14ac:dyDescent="0.25">
      <c r="C77" s="1"/>
      <c r="F77" s="1"/>
      <c r="G77" s="1"/>
      <c r="H77" s="1">
        <f t="shared" si="12"/>
        <v>0</v>
      </c>
      <c r="I77" s="2">
        <f t="shared" si="15"/>
        <v>0</v>
      </c>
      <c r="J77" s="1">
        <f t="shared" si="16"/>
        <v>0</v>
      </c>
      <c r="O77" s="1" t="str">
        <f t="shared" si="13"/>
        <v/>
      </c>
      <c r="P77" s="1" t="str">
        <f t="shared" si="14"/>
        <v/>
      </c>
    </row>
    <row r="78" spans="3:16" x14ac:dyDescent="0.25">
      <c r="C78" s="1"/>
      <c r="F78" s="1"/>
      <c r="G78" s="1"/>
      <c r="H78" s="1">
        <f t="shared" si="12"/>
        <v>0</v>
      </c>
      <c r="I78" s="2">
        <f t="shared" si="15"/>
        <v>0</v>
      </c>
      <c r="J78" s="1">
        <f t="shared" si="16"/>
        <v>0</v>
      </c>
      <c r="O78" s="1" t="str">
        <f t="shared" si="13"/>
        <v/>
      </c>
      <c r="P78" s="1" t="str">
        <f t="shared" si="14"/>
        <v/>
      </c>
    </row>
    <row r="79" spans="3:16" x14ac:dyDescent="0.25">
      <c r="C79" s="1"/>
      <c r="F79" s="1"/>
      <c r="G79" s="1"/>
      <c r="H79" s="1">
        <f t="shared" si="12"/>
        <v>0</v>
      </c>
      <c r="I79" s="2">
        <f t="shared" si="15"/>
        <v>0</v>
      </c>
      <c r="J79" s="1">
        <f t="shared" si="16"/>
        <v>0</v>
      </c>
      <c r="O79" s="1" t="str">
        <f t="shared" si="13"/>
        <v/>
      </c>
      <c r="P79" s="1" t="str">
        <f t="shared" si="14"/>
        <v/>
      </c>
    </row>
    <row r="80" spans="3:16" x14ac:dyDescent="0.25">
      <c r="C80" s="1"/>
      <c r="F80" s="1"/>
      <c r="G80" s="1"/>
      <c r="H80" s="1">
        <f t="shared" si="12"/>
        <v>0</v>
      </c>
      <c r="I80" s="2">
        <f t="shared" si="15"/>
        <v>0</v>
      </c>
      <c r="J80" s="1">
        <f t="shared" si="16"/>
        <v>0</v>
      </c>
      <c r="O80" s="1" t="str">
        <f t="shared" si="13"/>
        <v/>
      </c>
      <c r="P80" s="1" t="str">
        <f t="shared" si="14"/>
        <v/>
      </c>
    </row>
    <row r="81" spans="3:16" x14ac:dyDescent="0.25">
      <c r="C81" s="1"/>
      <c r="F81" s="1"/>
      <c r="G81" s="1"/>
      <c r="H81" s="1">
        <f t="shared" si="12"/>
        <v>0</v>
      </c>
      <c r="I81" s="2">
        <f t="shared" si="15"/>
        <v>0</v>
      </c>
      <c r="J81" s="1">
        <f t="shared" si="16"/>
        <v>0</v>
      </c>
      <c r="O81" s="1" t="str">
        <f t="shared" si="13"/>
        <v/>
      </c>
      <c r="P81" s="1" t="str">
        <f t="shared" si="14"/>
        <v/>
      </c>
    </row>
    <row r="82" spans="3:16" x14ac:dyDescent="0.25">
      <c r="C82" s="1"/>
      <c r="F82" s="1"/>
      <c r="G82" s="1"/>
      <c r="H82" s="1">
        <f t="shared" si="12"/>
        <v>0</v>
      </c>
      <c r="I82" s="2">
        <f t="shared" si="15"/>
        <v>0</v>
      </c>
      <c r="J82" s="1">
        <f t="shared" si="16"/>
        <v>0</v>
      </c>
      <c r="O82" s="1" t="str">
        <f t="shared" si="13"/>
        <v/>
      </c>
      <c r="P82" s="1" t="str">
        <f t="shared" si="14"/>
        <v/>
      </c>
    </row>
    <row r="83" spans="3:16" x14ac:dyDescent="0.25">
      <c r="C83" s="1"/>
      <c r="F83" s="1"/>
      <c r="G83" s="1"/>
      <c r="H83" s="1">
        <f t="shared" si="12"/>
        <v>0</v>
      </c>
      <c r="I83" s="2">
        <f t="shared" si="15"/>
        <v>0</v>
      </c>
      <c r="J83" s="1">
        <f t="shared" si="16"/>
        <v>0</v>
      </c>
      <c r="O83" s="1" t="str">
        <f t="shared" si="13"/>
        <v/>
      </c>
      <c r="P83" s="1" t="str">
        <f t="shared" si="14"/>
        <v/>
      </c>
    </row>
    <row r="84" spans="3:16" x14ac:dyDescent="0.25">
      <c r="C84" s="1"/>
      <c r="F84" s="1"/>
      <c r="G84" s="1"/>
      <c r="H84" s="1">
        <f t="shared" si="12"/>
        <v>0</v>
      </c>
      <c r="I84" s="2">
        <f t="shared" si="15"/>
        <v>0</v>
      </c>
      <c r="J84" s="1">
        <f t="shared" si="16"/>
        <v>0</v>
      </c>
      <c r="O84" s="1" t="str">
        <f t="shared" si="13"/>
        <v/>
      </c>
      <c r="P84" s="1" t="str">
        <f t="shared" si="14"/>
        <v/>
      </c>
    </row>
    <row r="85" spans="3:16" x14ac:dyDescent="0.25">
      <c r="C85" s="1"/>
      <c r="F85" s="1"/>
      <c r="G85" s="1"/>
      <c r="H85" s="1">
        <f t="shared" si="12"/>
        <v>0</v>
      </c>
      <c r="I85" s="2">
        <f t="shared" si="15"/>
        <v>0</v>
      </c>
      <c r="J85" s="1">
        <f t="shared" si="16"/>
        <v>0</v>
      </c>
      <c r="O85" s="1" t="str">
        <f t="shared" si="13"/>
        <v/>
      </c>
      <c r="P85" s="1" t="str">
        <f t="shared" si="14"/>
        <v/>
      </c>
    </row>
    <row r="86" spans="3:16" x14ac:dyDescent="0.25">
      <c r="C86" s="1"/>
      <c r="F86" s="1"/>
      <c r="G86" s="1"/>
      <c r="H86" s="1">
        <f t="shared" si="12"/>
        <v>0</v>
      </c>
      <c r="I86" s="2">
        <f t="shared" si="15"/>
        <v>0</v>
      </c>
      <c r="J86" s="1">
        <f t="shared" si="16"/>
        <v>0</v>
      </c>
      <c r="O86" s="1" t="str">
        <f t="shared" si="13"/>
        <v/>
      </c>
      <c r="P86" s="1" t="str">
        <f t="shared" si="14"/>
        <v/>
      </c>
    </row>
    <row r="87" spans="3:16" x14ac:dyDescent="0.25">
      <c r="C87" s="1"/>
      <c r="F87" s="1"/>
      <c r="G87" s="1"/>
      <c r="H87" s="1">
        <f t="shared" si="12"/>
        <v>0</v>
      </c>
      <c r="I87" s="2">
        <f t="shared" si="15"/>
        <v>0</v>
      </c>
      <c r="J87" s="1">
        <f t="shared" si="16"/>
        <v>0</v>
      </c>
      <c r="O87" s="1" t="str">
        <f t="shared" si="13"/>
        <v/>
      </c>
      <c r="P87" s="1" t="str">
        <f t="shared" si="14"/>
        <v/>
      </c>
    </row>
    <row r="88" spans="3:16" x14ac:dyDescent="0.25">
      <c r="C88" s="1"/>
      <c r="F88" s="1"/>
      <c r="G88" s="1"/>
      <c r="H88" s="1">
        <f t="shared" si="12"/>
        <v>0</v>
      </c>
      <c r="I88" s="2">
        <f t="shared" si="15"/>
        <v>0</v>
      </c>
      <c r="J88" s="1">
        <f t="shared" si="16"/>
        <v>0</v>
      </c>
      <c r="O88" s="1" t="str">
        <f t="shared" si="13"/>
        <v/>
      </c>
      <c r="P88" s="1" t="str">
        <f t="shared" si="14"/>
        <v/>
      </c>
    </row>
    <row r="89" spans="3:16" x14ac:dyDescent="0.25">
      <c r="C89" s="1"/>
      <c r="F89" s="1"/>
      <c r="G89" s="1"/>
      <c r="H89" s="1">
        <f t="shared" si="12"/>
        <v>0</v>
      </c>
      <c r="I89" s="2">
        <f t="shared" si="15"/>
        <v>0</v>
      </c>
      <c r="J89" s="1">
        <f t="shared" si="16"/>
        <v>0</v>
      </c>
      <c r="O89" s="1" t="str">
        <f t="shared" si="13"/>
        <v/>
      </c>
      <c r="P89" s="1" t="str">
        <f t="shared" si="14"/>
        <v/>
      </c>
    </row>
    <row r="90" spans="3:16" x14ac:dyDescent="0.25">
      <c r="C90" s="1"/>
      <c r="F90" s="1"/>
      <c r="G90" s="1"/>
      <c r="H90" s="1">
        <f t="shared" si="12"/>
        <v>0</v>
      </c>
      <c r="I90" s="2">
        <f t="shared" si="15"/>
        <v>0</v>
      </c>
      <c r="J90" s="1">
        <f t="shared" si="16"/>
        <v>0</v>
      </c>
      <c r="O90" s="1" t="str">
        <f t="shared" si="13"/>
        <v/>
      </c>
      <c r="P90" s="1" t="str">
        <f t="shared" si="14"/>
        <v/>
      </c>
    </row>
    <row r="91" spans="3:16" x14ac:dyDescent="0.25">
      <c r="C91" s="1"/>
      <c r="F91" s="1"/>
      <c r="G91" s="1"/>
      <c r="H91" s="1">
        <f t="shared" si="12"/>
        <v>0</v>
      </c>
      <c r="I91" s="2">
        <f t="shared" si="15"/>
        <v>0</v>
      </c>
      <c r="J91" s="1">
        <f t="shared" si="16"/>
        <v>0</v>
      </c>
      <c r="O91" s="1" t="str">
        <f t="shared" si="13"/>
        <v/>
      </c>
      <c r="P91" s="1" t="str">
        <f t="shared" si="14"/>
        <v/>
      </c>
    </row>
    <row r="92" spans="3:16" x14ac:dyDescent="0.25">
      <c r="C92" s="1"/>
      <c r="F92" s="1"/>
      <c r="G92" s="1"/>
      <c r="H92" s="1">
        <f t="shared" si="12"/>
        <v>0</v>
      </c>
      <c r="I92" s="2">
        <f t="shared" si="15"/>
        <v>0</v>
      </c>
      <c r="J92" s="1">
        <f t="shared" si="16"/>
        <v>0</v>
      </c>
      <c r="O92" s="1" t="str">
        <f t="shared" si="13"/>
        <v/>
      </c>
      <c r="P92" s="1" t="str">
        <f t="shared" si="14"/>
        <v/>
      </c>
    </row>
    <row r="93" spans="3:16" x14ac:dyDescent="0.25">
      <c r="C93" s="1"/>
      <c r="F93" s="1"/>
      <c r="G93" s="1"/>
      <c r="H93" s="1">
        <f t="shared" si="12"/>
        <v>0</v>
      </c>
      <c r="I93" s="2">
        <f t="shared" si="15"/>
        <v>0</v>
      </c>
      <c r="J93" s="1">
        <f t="shared" si="16"/>
        <v>0</v>
      </c>
      <c r="O93" s="1" t="str">
        <f t="shared" si="13"/>
        <v/>
      </c>
      <c r="P93" s="1" t="str">
        <f t="shared" si="14"/>
        <v/>
      </c>
    </row>
    <row r="94" spans="3:16" x14ac:dyDescent="0.25">
      <c r="C94" s="1"/>
      <c r="F94" s="1"/>
      <c r="G94" s="1"/>
      <c r="H94" s="1">
        <f t="shared" si="12"/>
        <v>0</v>
      </c>
      <c r="I94" s="2">
        <f t="shared" si="15"/>
        <v>0</v>
      </c>
      <c r="J94" s="1">
        <f t="shared" si="16"/>
        <v>0</v>
      </c>
      <c r="O94" s="1" t="str">
        <f t="shared" si="13"/>
        <v/>
      </c>
      <c r="P94" s="1" t="str">
        <f t="shared" si="14"/>
        <v/>
      </c>
    </row>
    <row r="95" spans="3:16" x14ac:dyDescent="0.25">
      <c r="C95" s="1"/>
      <c r="F95" s="1"/>
      <c r="G95" s="1"/>
      <c r="H95" s="1">
        <f t="shared" si="12"/>
        <v>0</v>
      </c>
      <c r="I95" s="2">
        <f t="shared" si="15"/>
        <v>0</v>
      </c>
      <c r="J95" s="1">
        <f t="shared" si="16"/>
        <v>0</v>
      </c>
      <c r="O95" s="1" t="str">
        <f t="shared" si="13"/>
        <v/>
      </c>
      <c r="P95" s="1" t="str">
        <f t="shared" si="14"/>
        <v/>
      </c>
    </row>
    <row r="96" spans="3:16" x14ac:dyDescent="0.25">
      <c r="C96" s="1"/>
      <c r="F96" s="1"/>
      <c r="G96" s="1"/>
      <c r="H96" s="1">
        <f t="shared" si="12"/>
        <v>0</v>
      </c>
      <c r="I96" s="2">
        <f t="shared" si="15"/>
        <v>0</v>
      </c>
      <c r="J96" s="1">
        <f t="shared" si="16"/>
        <v>0</v>
      </c>
      <c r="O96" s="1" t="str">
        <f t="shared" si="13"/>
        <v/>
      </c>
      <c r="P96" s="1" t="str">
        <f t="shared" si="14"/>
        <v/>
      </c>
    </row>
    <row r="97" spans="3:16" x14ac:dyDescent="0.25">
      <c r="C97" s="1"/>
      <c r="F97" s="1"/>
      <c r="G97" s="1"/>
      <c r="H97" s="1">
        <f t="shared" si="12"/>
        <v>0</v>
      </c>
      <c r="I97" s="2">
        <f t="shared" si="15"/>
        <v>0</v>
      </c>
      <c r="J97" s="1">
        <f t="shared" si="16"/>
        <v>0</v>
      </c>
      <c r="O97" s="1" t="str">
        <f t="shared" si="13"/>
        <v/>
      </c>
      <c r="P97" s="1" t="str">
        <f t="shared" si="14"/>
        <v/>
      </c>
    </row>
    <row r="98" spans="3:16" x14ac:dyDescent="0.25">
      <c r="C98" s="1"/>
      <c r="F98" s="1"/>
      <c r="G98" s="1"/>
      <c r="H98" s="1">
        <f t="shared" ref="H98:H100" si="17">IF(OR(ISBLANK(G98), ISBLANK(E98), E98=0), 0, G98 - (G98 * E98 / 100))</f>
        <v>0</v>
      </c>
      <c r="I98" s="2">
        <f t="shared" si="15"/>
        <v>0</v>
      </c>
      <c r="J98" s="1">
        <f t="shared" si="16"/>
        <v>0</v>
      </c>
      <c r="O98" s="1" t="str">
        <f t="shared" si="13"/>
        <v/>
      </c>
      <c r="P98" s="1" t="str">
        <f t="shared" si="14"/>
        <v/>
      </c>
    </row>
    <row r="99" spans="3:16" x14ac:dyDescent="0.25">
      <c r="C99" s="1"/>
      <c r="F99" s="1"/>
      <c r="G99" s="1"/>
      <c r="H99" s="1">
        <f t="shared" si="17"/>
        <v>0</v>
      </c>
      <c r="I99" s="2">
        <f t="shared" si="15"/>
        <v>0</v>
      </c>
      <c r="J99" s="1">
        <f t="shared" si="16"/>
        <v>0</v>
      </c>
      <c r="O99" s="1" t="str">
        <f t="shared" si="13"/>
        <v/>
      </c>
      <c r="P99" s="1" t="str">
        <f t="shared" si="14"/>
        <v/>
      </c>
    </row>
    <row r="100" spans="3:16" x14ac:dyDescent="0.25">
      <c r="C100" s="1"/>
      <c r="F100" s="1"/>
      <c r="G100" s="1"/>
      <c r="H100" s="1">
        <f t="shared" si="17"/>
        <v>0</v>
      </c>
      <c r="I100" s="2">
        <f t="shared" si="15"/>
        <v>0</v>
      </c>
      <c r="J100" s="1">
        <f t="shared" si="16"/>
        <v>0</v>
      </c>
      <c r="O100" s="1" t="str">
        <f t="shared" si="13"/>
        <v/>
      </c>
      <c r="P100" s="1" t="str">
        <f t="shared" si="14"/>
        <v/>
      </c>
    </row>
    <row r="117" spans="6:6" x14ac:dyDescent="0.25">
      <c r="F117" s="5">
        <v>1232000</v>
      </c>
    </row>
  </sheetData>
  <autoFilter ref="A1:M100" xr:uid="{2B08AA73-911C-4499-A579-5ADDF77D06D0}">
    <sortState xmlns:xlrd2="http://schemas.microsoft.com/office/spreadsheetml/2017/richdata2" ref="A2:M100">
      <sortCondition ref="M1:M100"/>
    </sortState>
  </autoFilter>
  <dataValidations count="1">
    <dataValidation type="list" allowBlank="1" showInputMessage="1" showErrorMessage="1" sqref="L2:L25 L27" xr:uid="{1B5966FC-2335-4B9E-A9BD-40B91EE1B95D}">
      <formula1>$Z$2:$Z$4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ECBA2C-96BF-46C9-8774-D41324594ABD}">
          <x14:formula1>
            <xm:f>'Master Barang'!$A$2:$A$38</xm:f>
          </x14:formula1>
          <xm:sqref>C2:C100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7F315-4E0D-4D7E-A4D9-ECFDF43A772B}">
  <sheetPr codeName="Sheet4"/>
  <dimension ref="A1:W99"/>
  <sheetViews>
    <sheetView topLeftCell="H1" zoomScale="130" zoomScaleNormal="130" workbookViewId="0">
      <selection activeCell="N32" sqref="N32"/>
    </sheetView>
  </sheetViews>
  <sheetFormatPr defaultRowHeight="15" x14ac:dyDescent="0.25"/>
  <cols>
    <col min="1" max="1" width="6.28515625" bestFit="1" customWidth="1"/>
    <col min="2" max="2" width="10" bestFit="1" customWidth="1"/>
    <col min="3" max="3" width="27.5703125" bestFit="1" customWidth="1"/>
    <col min="4" max="4" width="6.42578125" bestFit="1" customWidth="1"/>
    <col min="5" max="5" width="10.28515625" bestFit="1" customWidth="1"/>
    <col min="6" max="7" width="12.28515625" bestFit="1" customWidth="1"/>
    <col min="8" max="8" width="16" bestFit="1" customWidth="1"/>
    <col min="9" max="9" width="18.140625" bestFit="1" customWidth="1"/>
    <col min="10" max="10" width="11.5703125" bestFit="1" customWidth="1"/>
    <col min="11" max="11" width="13.5703125" bestFit="1" customWidth="1"/>
    <col min="12" max="12" width="15.85546875" bestFit="1" customWidth="1"/>
    <col min="13" max="13" width="17" bestFit="1" customWidth="1"/>
    <col min="14" max="14" width="15" bestFit="1" customWidth="1"/>
    <col min="15" max="15" width="19" bestFit="1" customWidth="1"/>
    <col min="16" max="16" width="18" bestFit="1" customWidth="1"/>
    <col min="23" max="23" width="15.5703125" bestFit="1" customWidth="1"/>
  </cols>
  <sheetData>
    <row r="1" spans="1:23" s="14" customFormat="1" x14ac:dyDescent="0.25">
      <c r="A1" s="14" t="s">
        <v>8</v>
      </c>
      <c r="B1" s="14" t="s">
        <v>7</v>
      </c>
      <c r="C1" s="14" t="s">
        <v>6</v>
      </c>
      <c r="D1" s="14" t="s">
        <v>5</v>
      </c>
      <c r="E1" s="16" t="s">
        <v>68</v>
      </c>
      <c r="F1" s="14" t="s">
        <v>4</v>
      </c>
      <c r="G1" s="14" t="s">
        <v>73</v>
      </c>
      <c r="H1" s="14" t="s">
        <v>69</v>
      </c>
      <c r="I1" s="14" t="s">
        <v>74</v>
      </c>
      <c r="J1" s="14" t="s">
        <v>16</v>
      </c>
      <c r="K1" s="14" t="s">
        <v>1</v>
      </c>
      <c r="L1" s="14" t="s">
        <v>0</v>
      </c>
      <c r="M1" s="14" t="s">
        <v>81</v>
      </c>
      <c r="N1" s="14" t="s">
        <v>134</v>
      </c>
      <c r="O1" s="14" t="s">
        <v>135</v>
      </c>
      <c r="P1" s="14" t="s">
        <v>136</v>
      </c>
    </row>
    <row r="2" spans="1:23" x14ac:dyDescent="0.25">
      <c r="A2">
        <v>1</v>
      </c>
      <c r="B2">
        <v>20250203</v>
      </c>
      <c r="C2" s="1" t="s">
        <v>83</v>
      </c>
      <c r="D2">
        <v>2</v>
      </c>
      <c r="E2" s="15"/>
      <c r="F2" s="1">
        <f>212000*D2</f>
        <v>424000</v>
      </c>
      <c r="G2" s="1">
        <f>250000*D2</f>
        <v>500000</v>
      </c>
      <c r="H2" s="1">
        <f>IF(OR(ISBLANK(G2), ISBLANK(E2), E2=0), 0, G2 - (G2 * E2 / 100))</f>
        <v>0</v>
      </c>
      <c r="I2" s="2">
        <f>IF(OR(ISBLANK(G2), ISBLANK(H2), H2=0), 0, G2 - H2) * -1</f>
        <v>0</v>
      </c>
      <c r="J2" s="1">
        <f>F2-G2-I2</f>
        <v>-76000</v>
      </c>
      <c r="K2" t="s">
        <v>79</v>
      </c>
      <c r="L2" t="s">
        <v>66</v>
      </c>
      <c r="M2" t="s">
        <v>82</v>
      </c>
      <c r="N2">
        <v>3</v>
      </c>
      <c r="O2" s="1">
        <f t="shared" ref="O2:O65" si="0">IF(L2="Pesanan Selesai", G2*0.04, "")</f>
        <v>20000</v>
      </c>
      <c r="P2" s="1">
        <f>IF(L2="Pesanan Selesai", J2+O2, "")</f>
        <v>-56000</v>
      </c>
      <c r="W2" t="s">
        <v>65</v>
      </c>
    </row>
    <row r="3" spans="1:23" x14ac:dyDescent="0.25">
      <c r="A3">
        <v>2</v>
      </c>
      <c r="B3">
        <v>20250203</v>
      </c>
      <c r="C3" s="1" t="s">
        <v>84</v>
      </c>
      <c r="D3">
        <v>1</v>
      </c>
      <c r="E3" s="1"/>
      <c r="F3" s="1">
        <f>145000</f>
        <v>145000</v>
      </c>
      <c r="G3" s="1">
        <v>180000</v>
      </c>
      <c r="H3" s="1">
        <f t="shared" ref="H3:H66" si="1">IF(OR(ISBLANK(G3), ISBLANK(E3), E3=0), 0, G3 - (G3 * E3 / 100))</f>
        <v>0</v>
      </c>
      <c r="I3" s="2">
        <f t="shared" ref="I3:I66" si="2">IF(OR(ISBLANK(G3), ISBLANK(H3), H3=0), 0, G3 - H3)</f>
        <v>0</v>
      </c>
      <c r="J3" s="1">
        <f t="shared" ref="J3:J66" si="3">F3-G3+I3</f>
        <v>-35000</v>
      </c>
      <c r="K3" t="s">
        <v>79</v>
      </c>
      <c r="L3" t="s">
        <v>66</v>
      </c>
      <c r="M3" t="s">
        <v>82</v>
      </c>
      <c r="N3">
        <v>3</v>
      </c>
      <c r="O3" s="1">
        <f t="shared" si="0"/>
        <v>7200</v>
      </c>
      <c r="P3" s="1">
        <f t="shared" ref="P3:P66" si="4">IF(L3="Pesanan Selesai", J3+O3, "")</f>
        <v>-27800</v>
      </c>
      <c r="W3" t="s">
        <v>62</v>
      </c>
    </row>
    <row r="4" spans="1:23" x14ac:dyDescent="0.25">
      <c r="A4">
        <v>3</v>
      </c>
      <c r="B4">
        <v>20240204</v>
      </c>
      <c r="C4" s="1" t="s">
        <v>96</v>
      </c>
      <c r="D4">
        <v>2</v>
      </c>
      <c r="E4" s="1"/>
      <c r="F4" s="1">
        <f>77000*D4</f>
        <v>154000</v>
      </c>
      <c r="G4" s="1">
        <f>95000*D4</f>
        <v>190000</v>
      </c>
      <c r="H4" s="1">
        <f t="shared" si="1"/>
        <v>0</v>
      </c>
      <c r="I4" s="2">
        <f t="shared" si="2"/>
        <v>0</v>
      </c>
      <c r="J4" s="1">
        <f t="shared" si="3"/>
        <v>-36000</v>
      </c>
      <c r="K4" t="s">
        <v>79</v>
      </c>
      <c r="L4" t="s">
        <v>66</v>
      </c>
      <c r="M4" t="s">
        <v>97</v>
      </c>
      <c r="N4">
        <v>3</v>
      </c>
      <c r="O4" s="1">
        <f t="shared" si="0"/>
        <v>7600</v>
      </c>
      <c r="P4" s="1">
        <f t="shared" si="4"/>
        <v>-28400</v>
      </c>
      <c r="W4" t="s">
        <v>66</v>
      </c>
    </row>
    <row r="5" spans="1:23" x14ac:dyDescent="0.25">
      <c r="A5">
        <v>4</v>
      </c>
      <c r="B5">
        <v>20240204</v>
      </c>
      <c r="C5" s="1" t="s">
        <v>80</v>
      </c>
      <c r="D5">
        <v>2</v>
      </c>
      <c r="E5" s="1"/>
      <c r="F5" s="1">
        <f>77000*D5</f>
        <v>154000</v>
      </c>
      <c r="G5" s="1">
        <f>95000*D5</f>
        <v>190000</v>
      </c>
      <c r="H5" s="1">
        <f t="shared" si="1"/>
        <v>0</v>
      </c>
      <c r="I5" s="2">
        <f t="shared" si="2"/>
        <v>0</v>
      </c>
      <c r="J5" s="1">
        <f t="shared" si="3"/>
        <v>-36000</v>
      </c>
      <c r="K5" t="s">
        <v>79</v>
      </c>
      <c r="L5" t="s">
        <v>66</v>
      </c>
      <c r="M5" t="s">
        <v>97</v>
      </c>
      <c r="N5">
        <v>3</v>
      </c>
      <c r="O5" s="1">
        <f t="shared" si="0"/>
        <v>7600</v>
      </c>
      <c r="P5" s="1">
        <f t="shared" si="4"/>
        <v>-28400</v>
      </c>
    </row>
    <row r="6" spans="1:23" x14ac:dyDescent="0.25">
      <c r="A6">
        <v>5</v>
      </c>
      <c r="B6">
        <v>20250205</v>
      </c>
      <c r="C6" s="1" t="s">
        <v>96</v>
      </c>
      <c r="D6">
        <v>1</v>
      </c>
      <c r="E6" s="1"/>
      <c r="F6" s="1">
        <f>77000*D6</f>
        <v>77000</v>
      </c>
      <c r="G6" s="1">
        <f>95000*D6</f>
        <v>95000</v>
      </c>
      <c r="H6" s="1">
        <f t="shared" si="1"/>
        <v>0</v>
      </c>
      <c r="I6" s="2">
        <f t="shared" si="2"/>
        <v>0</v>
      </c>
      <c r="J6" s="1">
        <f t="shared" si="3"/>
        <v>-18000</v>
      </c>
      <c r="K6" t="s">
        <v>79</v>
      </c>
      <c r="L6" t="s">
        <v>66</v>
      </c>
      <c r="M6" t="s">
        <v>98</v>
      </c>
      <c r="O6" s="1">
        <f t="shared" si="0"/>
        <v>3800</v>
      </c>
      <c r="P6" s="1">
        <f t="shared" si="4"/>
        <v>-14200</v>
      </c>
    </row>
    <row r="7" spans="1:23" x14ac:dyDescent="0.25">
      <c r="A7">
        <v>6</v>
      </c>
      <c r="B7">
        <v>20250207</v>
      </c>
      <c r="C7" s="1" t="s">
        <v>128</v>
      </c>
      <c r="D7">
        <v>1</v>
      </c>
      <c r="E7" s="1"/>
      <c r="F7" s="2">
        <v>145000</v>
      </c>
      <c r="G7" s="2">
        <v>180000</v>
      </c>
      <c r="H7" s="1">
        <f t="shared" si="1"/>
        <v>0</v>
      </c>
      <c r="I7" s="2">
        <f t="shared" si="2"/>
        <v>0</v>
      </c>
      <c r="J7" s="1">
        <f t="shared" si="3"/>
        <v>-35000</v>
      </c>
      <c r="K7" t="s">
        <v>79</v>
      </c>
      <c r="L7" t="s">
        <v>66</v>
      </c>
      <c r="M7" t="s">
        <v>132</v>
      </c>
      <c r="O7" s="1">
        <f t="shared" si="0"/>
        <v>7200</v>
      </c>
      <c r="P7" s="1">
        <f t="shared" si="4"/>
        <v>-27800</v>
      </c>
    </row>
    <row r="8" spans="1:23" x14ac:dyDescent="0.25">
      <c r="A8">
        <v>7</v>
      </c>
      <c r="B8">
        <v>20250209</v>
      </c>
      <c r="C8" s="1" t="s">
        <v>116</v>
      </c>
      <c r="D8">
        <v>2</v>
      </c>
      <c r="E8" s="1"/>
      <c r="F8" s="1">
        <f>77000*D8</f>
        <v>154000</v>
      </c>
      <c r="G8" s="1">
        <f>95000*D8</f>
        <v>190000</v>
      </c>
      <c r="H8" s="1">
        <f t="shared" si="1"/>
        <v>0</v>
      </c>
      <c r="I8" s="2">
        <f t="shared" si="2"/>
        <v>0</v>
      </c>
      <c r="J8" s="1">
        <f t="shared" si="3"/>
        <v>-36000</v>
      </c>
      <c r="K8" t="s">
        <v>79</v>
      </c>
      <c r="L8" t="s">
        <v>66</v>
      </c>
      <c r="M8" t="s">
        <v>137</v>
      </c>
      <c r="O8" s="1">
        <f t="shared" si="0"/>
        <v>7600</v>
      </c>
      <c r="P8" s="1">
        <f t="shared" si="4"/>
        <v>-28400</v>
      </c>
    </row>
    <row r="9" spans="1:23" x14ac:dyDescent="0.25">
      <c r="A9">
        <v>8</v>
      </c>
      <c r="B9">
        <v>20250210</v>
      </c>
      <c r="C9" s="1" t="s">
        <v>113</v>
      </c>
      <c r="D9">
        <v>1</v>
      </c>
      <c r="E9" s="1"/>
      <c r="F9" s="1">
        <f>77000*D9</f>
        <v>77000</v>
      </c>
      <c r="G9" s="1">
        <f>95000*D9</f>
        <v>95000</v>
      </c>
      <c r="H9" s="1">
        <f t="shared" si="1"/>
        <v>0</v>
      </c>
      <c r="I9" s="2">
        <f t="shared" si="2"/>
        <v>0</v>
      </c>
      <c r="J9" s="1">
        <f t="shared" si="3"/>
        <v>-18000</v>
      </c>
      <c r="K9" t="s">
        <v>79</v>
      </c>
      <c r="L9" t="s">
        <v>66</v>
      </c>
      <c r="M9" t="s">
        <v>139</v>
      </c>
      <c r="O9" s="1">
        <f t="shared" si="0"/>
        <v>3800</v>
      </c>
      <c r="P9" s="1">
        <f t="shared" si="4"/>
        <v>-14200</v>
      </c>
    </row>
    <row r="10" spans="1:23" x14ac:dyDescent="0.25">
      <c r="A10">
        <v>9</v>
      </c>
      <c r="B10">
        <v>20250304</v>
      </c>
      <c r="C10" s="1" t="s">
        <v>124</v>
      </c>
      <c r="D10">
        <v>1</v>
      </c>
      <c r="E10" s="1"/>
      <c r="F10" s="1">
        <v>155000</v>
      </c>
      <c r="G10" s="1">
        <v>185000</v>
      </c>
      <c r="H10" s="1">
        <f t="shared" si="1"/>
        <v>0</v>
      </c>
      <c r="I10" s="2">
        <f t="shared" si="2"/>
        <v>0</v>
      </c>
      <c r="J10" s="1">
        <f t="shared" si="3"/>
        <v>-30000</v>
      </c>
      <c r="K10" t="s">
        <v>143</v>
      </c>
      <c r="L10" t="s">
        <v>66</v>
      </c>
      <c r="M10" t="s">
        <v>144</v>
      </c>
      <c r="O10" s="1"/>
      <c r="P10" s="1">
        <f t="shared" si="4"/>
        <v>-30000</v>
      </c>
    </row>
    <row r="11" spans="1:23" x14ac:dyDescent="0.25">
      <c r="A11">
        <v>10</v>
      </c>
      <c r="B11">
        <v>20250304</v>
      </c>
      <c r="C11" s="1" t="s">
        <v>129</v>
      </c>
      <c r="D11">
        <v>1</v>
      </c>
      <c r="E11" s="1"/>
      <c r="F11" s="2">
        <v>145000</v>
      </c>
      <c r="G11" s="2">
        <v>180000</v>
      </c>
      <c r="H11" s="1">
        <f t="shared" si="1"/>
        <v>0</v>
      </c>
      <c r="I11" s="2">
        <f t="shared" si="2"/>
        <v>0</v>
      </c>
      <c r="J11" s="1">
        <f t="shared" si="3"/>
        <v>-35000</v>
      </c>
      <c r="K11" t="s">
        <v>143</v>
      </c>
      <c r="L11" t="s">
        <v>66</v>
      </c>
      <c r="M11" t="s">
        <v>144</v>
      </c>
      <c r="O11" s="1"/>
      <c r="P11" s="1">
        <f t="shared" si="4"/>
        <v>-35000</v>
      </c>
    </row>
    <row r="12" spans="1:23" x14ac:dyDescent="0.25">
      <c r="A12">
        <v>11</v>
      </c>
      <c r="B12">
        <v>20250310</v>
      </c>
      <c r="C12" s="1" t="s">
        <v>102</v>
      </c>
      <c r="D12">
        <v>2</v>
      </c>
      <c r="E12" s="1"/>
      <c r="F12" s="1">
        <f>77000*D12</f>
        <v>154000</v>
      </c>
      <c r="G12" s="1">
        <f>95000*2</f>
        <v>190000</v>
      </c>
      <c r="H12" s="1">
        <f t="shared" si="1"/>
        <v>0</v>
      </c>
      <c r="I12" s="2">
        <f t="shared" si="2"/>
        <v>0</v>
      </c>
      <c r="J12" s="1">
        <f t="shared" si="3"/>
        <v>-36000</v>
      </c>
      <c r="K12" t="s">
        <v>143</v>
      </c>
      <c r="L12" t="s">
        <v>66</v>
      </c>
      <c r="M12" t="s">
        <v>145</v>
      </c>
      <c r="O12" s="1"/>
      <c r="P12" s="1">
        <f t="shared" si="4"/>
        <v>-36000</v>
      </c>
    </row>
    <row r="13" spans="1:23" x14ac:dyDescent="0.25">
      <c r="A13">
        <v>12</v>
      </c>
      <c r="B13">
        <v>20250310</v>
      </c>
      <c r="C13" s="1" t="s">
        <v>124</v>
      </c>
      <c r="D13">
        <v>1</v>
      </c>
      <c r="E13" s="1"/>
      <c r="F13" s="1">
        <v>155000</v>
      </c>
      <c r="G13" s="1">
        <v>185000</v>
      </c>
      <c r="H13" s="1">
        <f t="shared" si="1"/>
        <v>0</v>
      </c>
      <c r="I13" s="2">
        <f t="shared" si="2"/>
        <v>0</v>
      </c>
      <c r="J13" s="1">
        <f t="shared" si="3"/>
        <v>-30000</v>
      </c>
      <c r="K13" t="s">
        <v>143</v>
      </c>
      <c r="L13" t="s">
        <v>66</v>
      </c>
      <c r="M13" t="s">
        <v>145</v>
      </c>
      <c r="O13" s="1"/>
      <c r="P13" s="1">
        <f t="shared" si="4"/>
        <v>-30000</v>
      </c>
    </row>
    <row r="14" spans="1:23" x14ac:dyDescent="0.25">
      <c r="A14">
        <v>13</v>
      </c>
      <c r="B14">
        <v>20250310</v>
      </c>
      <c r="C14" s="1" t="s">
        <v>116</v>
      </c>
      <c r="D14">
        <v>1</v>
      </c>
      <c r="E14" s="1"/>
      <c r="F14" s="1">
        <f>77000*D14</f>
        <v>77000</v>
      </c>
      <c r="G14" s="1">
        <f>95000*D14</f>
        <v>95000</v>
      </c>
      <c r="H14" s="1">
        <f t="shared" si="1"/>
        <v>0</v>
      </c>
      <c r="I14" s="2">
        <f t="shared" si="2"/>
        <v>0</v>
      </c>
      <c r="J14" s="1">
        <f t="shared" si="3"/>
        <v>-18000</v>
      </c>
      <c r="K14" t="s">
        <v>143</v>
      </c>
      <c r="L14" t="s">
        <v>66</v>
      </c>
      <c r="M14" t="s">
        <v>146</v>
      </c>
      <c r="O14" s="1"/>
      <c r="P14" s="1">
        <f t="shared" si="4"/>
        <v>-18000</v>
      </c>
    </row>
    <row r="15" spans="1:23" x14ac:dyDescent="0.25">
      <c r="A15">
        <v>14</v>
      </c>
      <c r="B15">
        <v>20250310</v>
      </c>
      <c r="C15" s="1" t="s">
        <v>113</v>
      </c>
      <c r="D15">
        <v>1</v>
      </c>
      <c r="E15" s="1"/>
      <c r="F15" s="1">
        <f>77000*D15</f>
        <v>77000</v>
      </c>
      <c r="G15" s="1">
        <f>95000*D15</f>
        <v>95000</v>
      </c>
      <c r="H15" s="1">
        <f t="shared" si="1"/>
        <v>0</v>
      </c>
      <c r="I15" s="2">
        <f t="shared" si="2"/>
        <v>0</v>
      </c>
      <c r="J15" s="1">
        <f t="shared" si="3"/>
        <v>-18000</v>
      </c>
      <c r="K15" t="s">
        <v>143</v>
      </c>
      <c r="L15" t="s">
        <v>66</v>
      </c>
      <c r="M15" t="s">
        <v>147</v>
      </c>
      <c r="O15" s="1"/>
      <c r="P15" s="1">
        <f t="shared" si="4"/>
        <v>-18000</v>
      </c>
    </row>
    <row r="16" spans="1:23" x14ac:dyDescent="0.25">
      <c r="A16">
        <v>15</v>
      </c>
      <c r="B16">
        <v>20250310</v>
      </c>
      <c r="C16" s="1" t="s">
        <v>113</v>
      </c>
      <c r="D16">
        <v>2</v>
      </c>
      <c r="E16" s="1"/>
      <c r="F16" s="1">
        <f>77000*D16</f>
        <v>154000</v>
      </c>
      <c r="G16" s="1">
        <f>95000*2</f>
        <v>190000</v>
      </c>
      <c r="H16" s="1">
        <f t="shared" si="1"/>
        <v>0</v>
      </c>
      <c r="I16" s="2">
        <f t="shared" si="2"/>
        <v>0</v>
      </c>
      <c r="J16" s="1">
        <f t="shared" si="3"/>
        <v>-36000</v>
      </c>
      <c r="K16" t="s">
        <v>143</v>
      </c>
      <c r="L16" t="s">
        <v>66</v>
      </c>
      <c r="M16" t="s">
        <v>146</v>
      </c>
      <c r="O16" s="1"/>
      <c r="P16" s="1">
        <f t="shared" si="4"/>
        <v>-36000</v>
      </c>
    </row>
    <row r="17" spans="1:16" x14ac:dyDescent="0.25">
      <c r="A17">
        <v>16</v>
      </c>
      <c r="B17">
        <v>20250310</v>
      </c>
      <c r="C17" s="1" t="s">
        <v>113</v>
      </c>
      <c r="D17">
        <v>3</v>
      </c>
      <c r="E17" s="1"/>
      <c r="F17" s="1">
        <f>77000*D17</f>
        <v>231000</v>
      </c>
      <c r="G17" s="1">
        <f>95000*3</f>
        <v>285000</v>
      </c>
      <c r="H17" s="1">
        <f t="shared" si="1"/>
        <v>0</v>
      </c>
      <c r="I17" s="2">
        <f t="shared" si="2"/>
        <v>0</v>
      </c>
      <c r="J17" s="1">
        <f t="shared" si="3"/>
        <v>-54000</v>
      </c>
      <c r="K17" t="s">
        <v>143</v>
      </c>
      <c r="L17" t="s">
        <v>66</v>
      </c>
      <c r="M17" t="s">
        <v>148</v>
      </c>
      <c r="O17" s="1"/>
      <c r="P17" s="1">
        <f t="shared" si="4"/>
        <v>-54000</v>
      </c>
    </row>
    <row r="18" spans="1:16" x14ac:dyDescent="0.25">
      <c r="A18">
        <v>17</v>
      </c>
      <c r="B18">
        <v>20250312</v>
      </c>
      <c r="C18" s="1" t="s">
        <v>128</v>
      </c>
      <c r="D18">
        <v>1</v>
      </c>
      <c r="E18" s="1"/>
      <c r="F18" s="2">
        <v>145000</v>
      </c>
      <c r="G18" s="2">
        <v>180000</v>
      </c>
      <c r="H18" s="1">
        <f t="shared" si="1"/>
        <v>0</v>
      </c>
      <c r="I18" s="2">
        <f t="shared" si="2"/>
        <v>0</v>
      </c>
      <c r="J18" s="1">
        <f t="shared" si="3"/>
        <v>-35000</v>
      </c>
      <c r="K18" t="s">
        <v>143</v>
      </c>
      <c r="L18" t="s">
        <v>62</v>
      </c>
      <c r="M18" t="s">
        <v>144</v>
      </c>
      <c r="O18" s="1"/>
      <c r="P18" s="1" t="str">
        <f t="shared" si="4"/>
        <v/>
      </c>
    </row>
    <row r="19" spans="1:16" x14ac:dyDescent="0.25">
      <c r="A19">
        <v>18</v>
      </c>
      <c r="B19">
        <v>20250312</v>
      </c>
      <c r="C19" s="1" t="s">
        <v>124</v>
      </c>
      <c r="D19">
        <v>1</v>
      </c>
      <c r="E19" s="1"/>
      <c r="F19" s="1">
        <v>155000</v>
      </c>
      <c r="G19" s="1">
        <v>185000</v>
      </c>
      <c r="H19" s="1">
        <f t="shared" si="1"/>
        <v>0</v>
      </c>
      <c r="I19" s="2">
        <f t="shared" si="2"/>
        <v>0</v>
      </c>
      <c r="J19" s="1">
        <f t="shared" si="3"/>
        <v>-30000</v>
      </c>
      <c r="K19" t="s">
        <v>143</v>
      </c>
      <c r="L19" t="s">
        <v>62</v>
      </c>
      <c r="M19" t="s">
        <v>144</v>
      </c>
      <c r="O19" s="1" t="str">
        <f t="shared" si="0"/>
        <v/>
      </c>
      <c r="P19" s="1" t="str">
        <f t="shared" si="4"/>
        <v/>
      </c>
    </row>
    <row r="20" spans="1:16" x14ac:dyDescent="0.25">
      <c r="C20" s="1"/>
      <c r="E20" s="1"/>
      <c r="F20" s="1"/>
      <c r="G20" s="1"/>
      <c r="H20" s="1">
        <f t="shared" si="1"/>
        <v>0</v>
      </c>
      <c r="I20" s="2">
        <f t="shared" si="2"/>
        <v>0</v>
      </c>
      <c r="J20" s="1">
        <f t="shared" si="3"/>
        <v>0</v>
      </c>
      <c r="O20" s="1" t="str">
        <f t="shared" si="0"/>
        <v/>
      </c>
      <c r="P20" s="1" t="str">
        <f t="shared" si="4"/>
        <v/>
      </c>
    </row>
    <row r="21" spans="1:16" x14ac:dyDescent="0.25">
      <c r="C21" s="1"/>
      <c r="E21" s="1"/>
      <c r="F21" s="1"/>
      <c r="G21" s="1"/>
      <c r="H21" s="1">
        <f t="shared" si="1"/>
        <v>0</v>
      </c>
      <c r="I21" s="2">
        <f t="shared" si="2"/>
        <v>0</v>
      </c>
      <c r="J21" s="1">
        <f t="shared" si="3"/>
        <v>0</v>
      </c>
      <c r="O21" s="1" t="str">
        <f t="shared" si="0"/>
        <v/>
      </c>
      <c r="P21" s="1" t="str">
        <f t="shared" si="4"/>
        <v/>
      </c>
    </row>
    <row r="22" spans="1:16" x14ac:dyDescent="0.25">
      <c r="C22" s="1"/>
      <c r="E22" s="1"/>
      <c r="F22" s="1"/>
      <c r="G22" s="1"/>
      <c r="H22" s="1">
        <f t="shared" si="1"/>
        <v>0</v>
      </c>
      <c r="I22" s="2">
        <f t="shared" si="2"/>
        <v>0</v>
      </c>
      <c r="J22" s="1">
        <f t="shared" si="3"/>
        <v>0</v>
      </c>
      <c r="O22" s="1" t="str">
        <f t="shared" si="0"/>
        <v/>
      </c>
      <c r="P22" s="1" t="str">
        <f t="shared" si="4"/>
        <v/>
      </c>
    </row>
    <row r="23" spans="1:16" x14ac:dyDescent="0.25">
      <c r="C23" s="1"/>
      <c r="E23" s="1"/>
      <c r="F23" s="1"/>
      <c r="G23" s="1"/>
      <c r="H23" s="1">
        <f t="shared" si="1"/>
        <v>0</v>
      </c>
      <c r="I23" s="2">
        <f t="shared" si="2"/>
        <v>0</v>
      </c>
      <c r="J23" s="1">
        <f t="shared" si="3"/>
        <v>0</v>
      </c>
      <c r="O23" s="1" t="str">
        <f t="shared" si="0"/>
        <v/>
      </c>
      <c r="P23" s="1" t="str">
        <f t="shared" si="4"/>
        <v/>
      </c>
    </row>
    <row r="24" spans="1:16" x14ac:dyDescent="0.25">
      <c r="C24" s="1"/>
      <c r="E24" s="1"/>
      <c r="F24" s="1"/>
      <c r="G24" s="1"/>
      <c r="H24" s="1">
        <f t="shared" si="1"/>
        <v>0</v>
      </c>
      <c r="I24" s="2">
        <f t="shared" si="2"/>
        <v>0</v>
      </c>
      <c r="J24" s="1">
        <f t="shared" si="3"/>
        <v>0</v>
      </c>
      <c r="O24" s="1" t="str">
        <f t="shared" si="0"/>
        <v/>
      </c>
      <c r="P24" s="1" t="str">
        <f t="shared" si="4"/>
        <v/>
      </c>
    </row>
    <row r="25" spans="1:16" x14ac:dyDescent="0.25">
      <c r="C25" s="1"/>
      <c r="E25" s="1"/>
      <c r="F25" s="1"/>
      <c r="G25" s="1"/>
      <c r="H25" s="1">
        <f t="shared" si="1"/>
        <v>0</v>
      </c>
      <c r="I25" s="2">
        <f t="shared" si="2"/>
        <v>0</v>
      </c>
      <c r="J25" s="1">
        <f t="shared" si="3"/>
        <v>0</v>
      </c>
      <c r="O25" s="1" t="str">
        <f t="shared" si="0"/>
        <v/>
      </c>
      <c r="P25" s="1" t="str">
        <f t="shared" si="4"/>
        <v/>
      </c>
    </row>
    <row r="26" spans="1:16" x14ac:dyDescent="0.25">
      <c r="C26" s="1"/>
      <c r="E26" s="1"/>
      <c r="F26" s="1"/>
      <c r="G26" s="1"/>
      <c r="H26" s="1">
        <f t="shared" si="1"/>
        <v>0</v>
      </c>
      <c r="I26" s="2">
        <f t="shared" si="2"/>
        <v>0</v>
      </c>
      <c r="J26" s="1">
        <f t="shared" si="3"/>
        <v>0</v>
      </c>
      <c r="O26" s="1" t="str">
        <f t="shared" si="0"/>
        <v/>
      </c>
      <c r="P26" s="1" t="str">
        <f t="shared" si="4"/>
        <v/>
      </c>
    </row>
    <row r="27" spans="1:16" x14ac:dyDescent="0.25">
      <c r="C27" s="1"/>
      <c r="E27" s="1"/>
      <c r="F27" s="1"/>
      <c r="G27" s="1"/>
      <c r="H27" s="1">
        <f t="shared" si="1"/>
        <v>0</v>
      </c>
      <c r="I27" s="2">
        <f t="shared" si="2"/>
        <v>0</v>
      </c>
      <c r="J27" s="1">
        <f t="shared" si="3"/>
        <v>0</v>
      </c>
      <c r="O27" s="1" t="str">
        <f t="shared" si="0"/>
        <v/>
      </c>
      <c r="P27" s="1" t="str">
        <f t="shared" si="4"/>
        <v/>
      </c>
    </row>
    <row r="28" spans="1:16" x14ac:dyDescent="0.25">
      <c r="C28" s="1"/>
      <c r="E28" s="1"/>
      <c r="F28" s="1"/>
      <c r="G28" s="1"/>
      <c r="H28" s="1">
        <f t="shared" si="1"/>
        <v>0</v>
      </c>
      <c r="I28" s="2">
        <f t="shared" si="2"/>
        <v>0</v>
      </c>
      <c r="J28" s="1">
        <f t="shared" si="3"/>
        <v>0</v>
      </c>
      <c r="O28" s="1" t="str">
        <f t="shared" si="0"/>
        <v/>
      </c>
      <c r="P28" s="1" t="str">
        <f t="shared" si="4"/>
        <v/>
      </c>
    </row>
    <row r="29" spans="1:16" x14ac:dyDescent="0.25">
      <c r="C29" s="1"/>
      <c r="E29" s="1"/>
      <c r="F29" s="1"/>
      <c r="G29" s="1"/>
      <c r="H29" s="1">
        <f t="shared" si="1"/>
        <v>0</v>
      </c>
      <c r="I29" s="2">
        <f t="shared" si="2"/>
        <v>0</v>
      </c>
      <c r="J29" s="1">
        <f t="shared" si="3"/>
        <v>0</v>
      </c>
      <c r="O29" s="1" t="str">
        <f t="shared" si="0"/>
        <v/>
      </c>
      <c r="P29" s="1" t="str">
        <f t="shared" si="4"/>
        <v/>
      </c>
    </row>
    <row r="30" spans="1:16" x14ac:dyDescent="0.25">
      <c r="C30" s="1"/>
      <c r="E30" s="1"/>
      <c r="F30" s="1"/>
      <c r="G30" s="1"/>
      <c r="H30" s="1">
        <f t="shared" si="1"/>
        <v>0</v>
      </c>
      <c r="I30" s="2">
        <f t="shared" si="2"/>
        <v>0</v>
      </c>
      <c r="J30" s="1">
        <f t="shared" si="3"/>
        <v>0</v>
      </c>
      <c r="O30" s="1" t="str">
        <f t="shared" si="0"/>
        <v/>
      </c>
      <c r="P30" s="1" t="str">
        <f t="shared" si="4"/>
        <v/>
      </c>
    </row>
    <row r="31" spans="1:16" x14ac:dyDescent="0.25">
      <c r="C31" s="1"/>
      <c r="E31" s="1"/>
      <c r="F31" s="1"/>
      <c r="G31" s="1"/>
      <c r="H31" s="1">
        <f t="shared" si="1"/>
        <v>0</v>
      </c>
      <c r="I31" s="2">
        <f t="shared" si="2"/>
        <v>0</v>
      </c>
      <c r="J31" s="1">
        <f t="shared" si="3"/>
        <v>0</v>
      </c>
      <c r="O31" s="1" t="str">
        <f t="shared" si="0"/>
        <v/>
      </c>
      <c r="P31" s="1" t="str">
        <f t="shared" si="4"/>
        <v/>
      </c>
    </row>
    <row r="32" spans="1:16" x14ac:dyDescent="0.25">
      <c r="C32" s="1"/>
      <c r="E32" s="1"/>
      <c r="F32" s="1"/>
      <c r="G32" s="1"/>
      <c r="H32" s="1">
        <f t="shared" si="1"/>
        <v>0</v>
      </c>
      <c r="I32" s="2">
        <f t="shared" si="2"/>
        <v>0</v>
      </c>
      <c r="J32" s="1">
        <f t="shared" si="3"/>
        <v>0</v>
      </c>
      <c r="O32" s="1" t="str">
        <f t="shared" si="0"/>
        <v/>
      </c>
      <c r="P32" s="1" t="str">
        <f t="shared" si="4"/>
        <v/>
      </c>
    </row>
    <row r="33" spans="3:16" x14ac:dyDescent="0.25">
      <c r="C33" s="1"/>
      <c r="E33" s="1"/>
      <c r="F33" s="1"/>
      <c r="G33" s="1"/>
      <c r="H33" s="1">
        <f t="shared" si="1"/>
        <v>0</v>
      </c>
      <c r="I33" s="2">
        <f t="shared" si="2"/>
        <v>0</v>
      </c>
      <c r="J33" s="1">
        <f t="shared" si="3"/>
        <v>0</v>
      </c>
      <c r="O33" s="1" t="str">
        <f t="shared" si="0"/>
        <v/>
      </c>
      <c r="P33" s="1" t="str">
        <f t="shared" si="4"/>
        <v/>
      </c>
    </row>
    <row r="34" spans="3:16" x14ac:dyDescent="0.25">
      <c r="C34" s="1"/>
      <c r="E34" s="1"/>
      <c r="F34" s="1"/>
      <c r="G34" s="1"/>
      <c r="H34" s="1">
        <f t="shared" si="1"/>
        <v>0</v>
      </c>
      <c r="I34" s="2">
        <f t="shared" si="2"/>
        <v>0</v>
      </c>
      <c r="J34" s="1">
        <f t="shared" si="3"/>
        <v>0</v>
      </c>
      <c r="O34" s="1" t="str">
        <f t="shared" si="0"/>
        <v/>
      </c>
      <c r="P34" s="1" t="str">
        <f t="shared" si="4"/>
        <v/>
      </c>
    </row>
    <row r="35" spans="3:16" x14ac:dyDescent="0.25">
      <c r="C35" s="1"/>
      <c r="E35" s="1"/>
      <c r="F35" s="1"/>
      <c r="G35" s="1"/>
      <c r="H35" s="1">
        <f t="shared" si="1"/>
        <v>0</v>
      </c>
      <c r="I35" s="2">
        <f t="shared" si="2"/>
        <v>0</v>
      </c>
      <c r="J35" s="1">
        <f t="shared" si="3"/>
        <v>0</v>
      </c>
      <c r="O35" s="1" t="str">
        <f t="shared" si="0"/>
        <v/>
      </c>
      <c r="P35" s="1" t="str">
        <f t="shared" si="4"/>
        <v/>
      </c>
    </row>
    <row r="36" spans="3:16" x14ac:dyDescent="0.25">
      <c r="C36" s="1"/>
      <c r="E36" s="1"/>
      <c r="F36" s="1"/>
      <c r="G36" s="1"/>
      <c r="H36" s="1">
        <f t="shared" si="1"/>
        <v>0</v>
      </c>
      <c r="I36" s="2">
        <f t="shared" si="2"/>
        <v>0</v>
      </c>
      <c r="J36" s="1">
        <f t="shared" si="3"/>
        <v>0</v>
      </c>
      <c r="O36" s="1" t="str">
        <f t="shared" si="0"/>
        <v/>
      </c>
      <c r="P36" s="1" t="str">
        <f t="shared" si="4"/>
        <v/>
      </c>
    </row>
    <row r="37" spans="3:16" x14ac:dyDescent="0.25">
      <c r="C37" s="1"/>
      <c r="E37" s="1"/>
      <c r="F37" s="1"/>
      <c r="G37" s="1"/>
      <c r="H37" s="1">
        <f t="shared" si="1"/>
        <v>0</v>
      </c>
      <c r="I37" s="2">
        <f t="shared" si="2"/>
        <v>0</v>
      </c>
      <c r="J37" s="1">
        <f t="shared" si="3"/>
        <v>0</v>
      </c>
      <c r="O37" s="1" t="str">
        <f t="shared" si="0"/>
        <v/>
      </c>
      <c r="P37" s="1" t="str">
        <f t="shared" si="4"/>
        <v/>
      </c>
    </row>
    <row r="38" spans="3:16" x14ac:dyDescent="0.25">
      <c r="C38" s="1"/>
      <c r="E38" s="1"/>
      <c r="F38" s="1"/>
      <c r="G38" s="1"/>
      <c r="H38" s="1">
        <f t="shared" si="1"/>
        <v>0</v>
      </c>
      <c r="I38" s="2">
        <f t="shared" si="2"/>
        <v>0</v>
      </c>
      <c r="J38" s="1">
        <f t="shared" si="3"/>
        <v>0</v>
      </c>
      <c r="O38" s="1" t="str">
        <f t="shared" si="0"/>
        <v/>
      </c>
      <c r="P38" s="1" t="str">
        <f t="shared" si="4"/>
        <v/>
      </c>
    </row>
    <row r="39" spans="3:16" x14ac:dyDescent="0.25">
      <c r="C39" s="1"/>
      <c r="E39" s="1"/>
      <c r="F39" s="1"/>
      <c r="G39" s="1"/>
      <c r="H39" s="1">
        <f t="shared" si="1"/>
        <v>0</v>
      </c>
      <c r="I39" s="2">
        <f t="shared" si="2"/>
        <v>0</v>
      </c>
      <c r="J39" s="1">
        <f t="shared" si="3"/>
        <v>0</v>
      </c>
      <c r="O39" s="1" t="str">
        <f t="shared" si="0"/>
        <v/>
      </c>
      <c r="P39" s="1" t="str">
        <f t="shared" si="4"/>
        <v/>
      </c>
    </row>
    <row r="40" spans="3:16" x14ac:dyDescent="0.25">
      <c r="C40" s="1"/>
      <c r="E40" s="1"/>
      <c r="F40" s="1"/>
      <c r="G40" s="1"/>
      <c r="H40" s="1">
        <f t="shared" si="1"/>
        <v>0</v>
      </c>
      <c r="I40" s="2">
        <f t="shared" si="2"/>
        <v>0</v>
      </c>
      <c r="J40" s="1">
        <f t="shared" si="3"/>
        <v>0</v>
      </c>
      <c r="O40" s="1" t="str">
        <f t="shared" si="0"/>
        <v/>
      </c>
      <c r="P40" s="1" t="str">
        <f t="shared" si="4"/>
        <v/>
      </c>
    </row>
    <row r="41" spans="3:16" x14ac:dyDescent="0.25">
      <c r="C41" s="1"/>
      <c r="E41" s="1"/>
      <c r="F41" s="1"/>
      <c r="G41" s="1"/>
      <c r="H41" s="1">
        <f t="shared" si="1"/>
        <v>0</v>
      </c>
      <c r="I41" s="2">
        <f t="shared" si="2"/>
        <v>0</v>
      </c>
      <c r="J41" s="1">
        <f t="shared" si="3"/>
        <v>0</v>
      </c>
      <c r="O41" s="1" t="str">
        <f t="shared" si="0"/>
        <v/>
      </c>
      <c r="P41" s="1" t="str">
        <f t="shared" si="4"/>
        <v/>
      </c>
    </row>
    <row r="42" spans="3:16" x14ac:dyDescent="0.25">
      <c r="C42" s="1"/>
      <c r="E42" s="1"/>
      <c r="F42" s="1"/>
      <c r="G42" s="1"/>
      <c r="H42" s="1">
        <f t="shared" si="1"/>
        <v>0</v>
      </c>
      <c r="I42" s="2">
        <f t="shared" si="2"/>
        <v>0</v>
      </c>
      <c r="J42" s="1">
        <f t="shared" si="3"/>
        <v>0</v>
      </c>
      <c r="O42" s="1" t="str">
        <f t="shared" si="0"/>
        <v/>
      </c>
      <c r="P42" s="1" t="str">
        <f t="shared" si="4"/>
        <v/>
      </c>
    </row>
    <row r="43" spans="3:16" x14ac:dyDescent="0.25">
      <c r="C43" s="1"/>
      <c r="E43" s="1"/>
      <c r="F43" s="1"/>
      <c r="G43" s="1"/>
      <c r="H43" s="1">
        <f t="shared" si="1"/>
        <v>0</v>
      </c>
      <c r="I43" s="2">
        <f t="shared" si="2"/>
        <v>0</v>
      </c>
      <c r="J43" s="1">
        <f t="shared" si="3"/>
        <v>0</v>
      </c>
      <c r="O43" s="1" t="str">
        <f t="shared" si="0"/>
        <v/>
      </c>
      <c r="P43" s="1" t="str">
        <f t="shared" si="4"/>
        <v/>
      </c>
    </row>
    <row r="44" spans="3:16" x14ac:dyDescent="0.25">
      <c r="C44" s="1"/>
      <c r="E44" s="1"/>
      <c r="F44" s="1"/>
      <c r="G44" s="1"/>
      <c r="H44" s="1">
        <f t="shared" si="1"/>
        <v>0</v>
      </c>
      <c r="I44" s="2">
        <f t="shared" si="2"/>
        <v>0</v>
      </c>
      <c r="J44" s="1">
        <f t="shared" si="3"/>
        <v>0</v>
      </c>
      <c r="O44" s="1" t="str">
        <f t="shared" si="0"/>
        <v/>
      </c>
      <c r="P44" s="1" t="str">
        <f t="shared" si="4"/>
        <v/>
      </c>
    </row>
    <row r="45" spans="3:16" x14ac:dyDescent="0.25">
      <c r="C45" s="1"/>
      <c r="E45" s="1"/>
      <c r="F45" s="1"/>
      <c r="G45" s="1"/>
      <c r="H45" s="1">
        <f t="shared" si="1"/>
        <v>0</v>
      </c>
      <c r="I45" s="2">
        <f t="shared" si="2"/>
        <v>0</v>
      </c>
      <c r="J45" s="1">
        <f t="shared" si="3"/>
        <v>0</v>
      </c>
      <c r="O45" s="1" t="str">
        <f t="shared" si="0"/>
        <v/>
      </c>
      <c r="P45" s="1" t="str">
        <f t="shared" si="4"/>
        <v/>
      </c>
    </row>
    <row r="46" spans="3:16" x14ac:dyDescent="0.25">
      <c r="C46" s="1"/>
      <c r="E46" s="1"/>
      <c r="F46" s="1"/>
      <c r="G46" s="1"/>
      <c r="H46" s="1">
        <f t="shared" si="1"/>
        <v>0</v>
      </c>
      <c r="I46" s="2">
        <f t="shared" si="2"/>
        <v>0</v>
      </c>
      <c r="J46" s="1">
        <f t="shared" si="3"/>
        <v>0</v>
      </c>
      <c r="O46" s="1" t="str">
        <f t="shared" si="0"/>
        <v/>
      </c>
      <c r="P46" s="1" t="str">
        <f t="shared" si="4"/>
        <v/>
      </c>
    </row>
    <row r="47" spans="3:16" x14ac:dyDescent="0.25">
      <c r="C47" s="1"/>
      <c r="E47" s="1"/>
      <c r="F47" s="1"/>
      <c r="G47" s="1"/>
      <c r="H47" s="1">
        <f t="shared" si="1"/>
        <v>0</v>
      </c>
      <c r="I47" s="2">
        <f t="shared" si="2"/>
        <v>0</v>
      </c>
      <c r="J47" s="1">
        <f t="shared" si="3"/>
        <v>0</v>
      </c>
      <c r="O47" s="1" t="str">
        <f t="shared" si="0"/>
        <v/>
      </c>
      <c r="P47" s="1" t="str">
        <f t="shared" si="4"/>
        <v/>
      </c>
    </row>
    <row r="48" spans="3:16" x14ac:dyDescent="0.25">
      <c r="C48" s="1"/>
      <c r="E48" s="1"/>
      <c r="F48" s="1"/>
      <c r="G48" s="1"/>
      <c r="H48" s="1">
        <f t="shared" si="1"/>
        <v>0</v>
      </c>
      <c r="I48" s="2">
        <f t="shared" si="2"/>
        <v>0</v>
      </c>
      <c r="J48" s="1">
        <f t="shared" si="3"/>
        <v>0</v>
      </c>
      <c r="O48" s="1" t="str">
        <f t="shared" si="0"/>
        <v/>
      </c>
      <c r="P48" s="1" t="str">
        <f t="shared" si="4"/>
        <v/>
      </c>
    </row>
    <row r="49" spans="3:16" x14ac:dyDescent="0.25">
      <c r="C49" s="1"/>
      <c r="E49" s="1"/>
      <c r="F49" s="1"/>
      <c r="G49" s="1"/>
      <c r="H49" s="1">
        <f t="shared" si="1"/>
        <v>0</v>
      </c>
      <c r="I49" s="2">
        <f t="shared" si="2"/>
        <v>0</v>
      </c>
      <c r="J49" s="1">
        <f t="shared" si="3"/>
        <v>0</v>
      </c>
      <c r="O49" s="1" t="str">
        <f t="shared" si="0"/>
        <v/>
      </c>
      <c r="P49" s="1" t="str">
        <f t="shared" si="4"/>
        <v/>
      </c>
    </row>
    <row r="50" spans="3:16" x14ac:dyDescent="0.25">
      <c r="C50" s="1"/>
      <c r="E50" s="1"/>
      <c r="F50" s="1"/>
      <c r="G50" s="1"/>
      <c r="H50" s="1">
        <f t="shared" si="1"/>
        <v>0</v>
      </c>
      <c r="I50" s="2">
        <f t="shared" si="2"/>
        <v>0</v>
      </c>
      <c r="J50" s="1">
        <f t="shared" si="3"/>
        <v>0</v>
      </c>
      <c r="O50" s="1" t="str">
        <f t="shared" si="0"/>
        <v/>
      </c>
      <c r="P50" s="1" t="str">
        <f t="shared" si="4"/>
        <v/>
      </c>
    </row>
    <row r="51" spans="3:16" x14ac:dyDescent="0.25">
      <c r="C51" s="1"/>
      <c r="E51" s="1"/>
      <c r="F51" s="1"/>
      <c r="G51" s="1"/>
      <c r="H51" s="1">
        <f t="shared" si="1"/>
        <v>0</v>
      </c>
      <c r="I51" s="2">
        <f t="shared" si="2"/>
        <v>0</v>
      </c>
      <c r="J51" s="1">
        <f t="shared" si="3"/>
        <v>0</v>
      </c>
      <c r="O51" s="1" t="str">
        <f t="shared" si="0"/>
        <v/>
      </c>
      <c r="P51" s="1" t="str">
        <f t="shared" si="4"/>
        <v/>
      </c>
    </row>
    <row r="52" spans="3:16" x14ac:dyDescent="0.25">
      <c r="C52" s="1"/>
      <c r="E52" s="1"/>
      <c r="F52" s="1"/>
      <c r="G52" s="1"/>
      <c r="H52" s="1">
        <f t="shared" si="1"/>
        <v>0</v>
      </c>
      <c r="I52" s="2">
        <f t="shared" si="2"/>
        <v>0</v>
      </c>
      <c r="J52" s="1">
        <f t="shared" si="3"/>
        <v>0</v>
      </c>
      <c r="O52" s="1" t="str">
        <f t="shared" si="0"/>
        <v/>
      </c>
      <c r="P52" s="1" t="str">
        <f t="shared" si="4"/>
        <v/>
      </c>
    </row>
    <row r="53" spans="3:16" x14ac:dyDescent="0.25">
      <c r="C53" s="1"/>
      <c r="E53" s="1"/>
      <c r="F53" s="1"/>
      <c r="G53" s="1"/>
      <c r="H53" s="1">
        <f t="shared" si="1"/>
        <v>0</v>
      </c>
      <c r="I53" s="2">
        <f t="shared" si="2"/>
        <v>0</v>
      </c>
      <c r="J53" s="1">
        <f t="shared" si="3"/>
        <v>0</v>
      </c>
      <c r="O53" s="1" t="str">
        <f t="shared" si="0"/>
        <v/>
      </c>
      <c r="P53" s="1" t="str">
        <f t="shared" si="4"/>
        <v/>
      </c>
    </row>
    <row r="54" spans="3:16" x14ac:dyDescent="0.25">
      <c r="C54" s="1"/>
      <c r="E54" s="1"/>
      <c r="F54" s="1"/>
      <c r="G54" s="1"/>
      <c r="H54" s="1">
        <f t="shared" si="1"/>
        <v>0</v>
      </c>
      <c r="I54" s="2">
        <f t="shared" si="2"/>
        <v>0</v>
      </c>
      <c r="J54" s="1">
        <f t="shared" si="3"/>
        <v>0</v>
      </c>
      <c r="O54" s="1" t="str">
        <f t="shared" si="0"/>
        <v/>
      </c>
      <c r="P54" s="1" t="str">
        <f t="shared" si="4"/>
        <v/>
      </c>
    </row>
    <row r="55" spans="3:16" x14ac:dyDescent="0.25">
      <c r="C55" s="1"/>
      <c r="E55" s="1"/>
      <c r="F55" s="1"/>
      <c r="G55" s="1"/>
      <c r="H55" s="1">
        <f t="shared" si="1"/>
        <v>0</v>
      </c>
      <c r="I55" s="2">
        <f t="shared" si="2"/>
        <v>0</v>
      </c>
      <c r="J55" s="1">
        <f t="shared" si="3"/>
        <v>0</v>
      </c>
      <c r="O55" s="1" t="str">
        <f t="shared" si="0"/>
        <v/>
      </c>
      <c r="P55" s="1" t="str">
        <f t="shared" si="4"/>
        <v/>
      </c>
    </row>
    <row r="56" spans="3:16" x14ac:dyDescent="0.25">
      <c r="C56" s="1"/>
      <c r="E56" s="1"/>
      <c r="F56" s="1"/>
      <c r="G56" s="1"/>
      <c r="H56" s="1">
        <f t="shared" si="1"/>
        <v>0</v>
      </c>
      <c r="I56" s="2">
        <f t="shared" si="2"/>
        <v>0</v>
      </c>
      <c r="J56" s="1">
        <f t="shared" si="3"/>
        <v>0</v>
      </c>
      <c r="O56" s="1" t="str">
        <f t="shared" si="0"/>
        <v/>
      </c>
      <c r="P56" s="1" t="str">
        <f t="shared" si="4"/>
        <v/>
      </c>
    </row>
    <row r="57" spans="3:16" x14ac:dyDescent="0.25">
      <c r="C57" s="1"/>
      <c r="E57" s="1"/>
      <c r="F57" s="1"/>
      <c r="G57" s="1"/>
      <c r="H57" s="1">
        <f t="shared" si="1"/>
        <v>0</v>
      </c>
      <c r="I57" s="2">
        <f t="shared" si="2"/>
        <v>0</v>
      </c>
      <c r="J57" s="1">
        <f t="shared" si="3"/>
        <v>0</v>
      </c>
      <c r="O57" s="1" t="str">
        <f t="shared" si="0"/>
        <v/>
      </c>
      <c r="P57" s="1" t="str">
        <f t="shared" si="4"/>
        <v/>
      </c>
    </row>
    <row r="58" spans="3:16" x14ac:dyDescent="0.25">
      <c r="C58" s="1"/>
      <c r="E58" s="1"/>
      <c r="F58" s="1"/>
      <c r="G58" s="1"/>
      <c r="H58" s="1">
        <f t="shared" si="1"/>
        <v>0</v>
      </c>
      <c r="I58" s="2">
        <f t="shared" si="2"/>
        <v>0</v>
      </c>
      <c r="J58" s="1">
        <f t="shared" si="3"/>
        <v>0</v>
      </c>
      <c r="O58" s="1" t="str">
        <f t="shared" si="0"/>
        <v/>
      </c>
      <c r="P58" s="1" t="str">
        <f t="shared" si="4"/>
        <v/>
      </c>
    </row>
    <row r="59" spans="3:16" x14ac:dyDescent="0.25">
      <c r="C59" s="1"/>
      <c r="E59" s="1"/>
      <c r="F59" s="1"/>
      <c r="G59" s="1"/>
      <c r="H59" s="1">
        <f t="shared" si="1"/>
        <v>0</v>
      </c>
      <c r="I59" s="2">
        <f t="shared" si="2"/>
        <v>0</v>
      </c>
      <c r="J59" s="1">
        <f t="shared" si="3"/>
        <v>0</v>
      </c>
      <c r="O59" s="1" t="str">
        <f t="shared" si="0"/>
        <v/>
      </c>
      <c r="P59" s="1" t="str">
        <f t="shared" si="4"/>
        <v/>
      </c>
    </row>
    <row r="60" spans="3:16" x14ac:dyDescent="0.25">
      <c r="C60" s="1"/>
      <c r="E60" s="1"/>
      <c r="F60" s="1"/>
      <c r="G60" s="1"/>
      <c r="H60" s="1">
        <f t="shared" si="1"/>
        <v>0</v>
      </c>
      <c r="I60" s="2">
        <f t="shared" si="2"/>
        <v>0</v>
      </c>
      <c r="J60" s="1">
        <f t="shared" si="3"/>
        <v>0</v>
      </c>
      <c r="O60" s="1" t="str">
        <f t="shared" si="0"/>
        <v/>
      </c>
      <c r="P60" s="1" t="str">
        <f t="shared" si="4"/>
        <v/>
      </c>
    </row>
    <row r="61" spans="3:16" x14ac:dyDescent="0.25">
      <c r="C61" s="1"/>
      <c r="E61" s="1"/>
      <c r="F61" s="1"/>
      <c r="G61" s="1"/>
      <c r="H61" s="1">
        <f t="shared" si="1"/>
        <v>0</v>
      </c>
      <c r="I61" s="2">
        <f t="shared" si="2"/>
        <v>0</v>
      </c>
      <c r="J61" s="1">
        <f t="shared" si="3"/>
        <v>0</v>
      </c>
      <c r="O61" s="1" t="str">
        <f t="shared" si="0"/>
        <v/>
      </c>
      <c r="P61" s="1" t="str">
        <f t="shared" si="4"/>
        <v/>
      </c>
    </row>
    <row r="62" spans="3:16" x14ac:dyDescent="0.25">
      <c r="C62" s="1"/>
      <c r="E62" s="1"/>
      <c r="F62" s="1"/>
      <c r="G62" s="1"/>
      <c r="H62" s="1">
        <f t="shared" si="1"/>
        <v>0</v>
      </c>
      <c r="I62" s="2">
        <f t="shared" si="2"/>
        <v>0</v>
      </c>
      <c r="J62" s="1">
        <f t="shared" si="3"/>
        <v>0</v>
      </c>
      <c r="O62" s="1" t="str">
        <f t="shared" si="0"/>
        <v/>
      </c>
      <c r="P62" s="1" t="str">
        <f t="shared" si="4"/>
        <v/>
      </c>
    </row>
    <row r="63" spans="3:16" x14ac:dyDescent="0.25">
      <c r="C63" s="1"/>
      <c r="E63" s="1"/>
      <c r="F63" s="1"/>
      <c r="G63" s="1"/>
      <c r="H63" s="1">
        <f t="shared" si="1"/>
        <v>0</v>
      </c>
      <c r="I63" s="2">
        <f t="shared" si="2"/>
        <v>0</v>
      </c>
      <c r="J63" s="1">
        <f t="shared" si="3"/>
        <v>0</v>
      </c>
      <c r="O63" s="1" t="str">
        <f t="shared" si="0"/>
        <v/>
      </c>
      <c r="P63" s="1" t="str">
        <f t="shared" si="4"/>
        <v/>
      </c>
    </row>
    <row r="64" spans="3:16" x14ac:dyDescent="0.25">
      <c r="C64" s="1"/>
      <c r="E64" s="1"/>
      <c r="F64" s="1"/>
      <c r="G64" s="1"/>
      <c r="H64" s="1">
        <f t="shared" si="1"/>
        <v>0</v>
      </c>
      <c r="I64" s="2">
        <f t="shared" si="2"/>
        <v>0</v>
      </c>
      <c r="J64" s="1">
        <f t="shared" si="3"/>
        <v>0</v>
      </c>
      <c r="O64" s="1" t="str">
        <f t="shared" si="0"/>
        <v/>
      </c>
      <c r="P64" s="1" t="str">
        <f t="shared" si="4"/>
        <v/>
      </c>
    </row>
    <row r="65" spans="3:16" x14ac:dyDescent="0.25">
      <c r="C65" s="1"/>
      <c r="E65" s="1"/>
      <c r="F65" s="1"/>
      <c r="G65" s="1"/>
      <c r="H65" s="1">
        <f t="shared" si="1"/>
        <v>0</v>
      </c>
      <c r="I65" s="2">
        <f t="shared" si="2"/>
        <v>0</v>
      </c>
      <c r="J65" s="1">
        <f t="shared" si="3"/>
        <v>0</v>
      </c>
      <c r="O65" s="1" t="str">
        <f t="shared" si="0"/>
        <v/>
      </c>
      <c r="P65" s="1" t="str">
        <f t="shared" si="4"/>
        <v/>
      </c>
    </row>
    <row r="66" spans="3:16" x14ac:dyDescent="0.25">
      <c r="C66" s="1"/>
      <c r="E66" s="1"/>
      <c r="F66" s="1"/>
      <c r="G66" s="1"/>
      <c r="H66" s="1">
        <f t="shared" si="1"/>
        <v>0</v>
      </c>
      <c r="I66" s="2">
        <f t="shared" si="2"/>
        <v>0</v>
      </c>
      <c r="J66" s="1">
        <f t="shared" si="3"/>
        <v>0</v>
      </c>
      <c r="O66" s="1" t="str">
        <f t="shared" ref="O66:O98" si="5">IF(L66="Pesanan Selesai", G66*0.04, "")</f>
        <v/>
      </c>
      <c r="P66" s="1" t="str">
        <f t="shared" si="4"/>
        <v/>
      </c>
    </row>
    <row r="67" spans="3:16" x14ac:dyDescent="0.25">
      <c r="C67" s="1"/>
      <c r="E67" s="1"/>
      <c r="F67" s="1"/>
      <c r="G67" s="1"/>
      <c r="H67" s="1">
        <f t="shared" ref="H67:H98" si="6">IF(OR(ISBLANK(G67), ISBLANK(E67), E67=0), 0, G67 - (G67 * E67 / 100))</f>
        <v>0</v>
      </c>
      <c r="I67" s="2">
        <f t="shared" ref="I67:I98" si="7">IF(OR(ISBLANK(G67), ISBLANK(H67), H67=0), 0, G67 - H67)</f>
        <v>0</v>
      </c>
      <c r="J67" s="1">
        <f t="shared" ref="J67:J98" si="8">F67-G67+I67</f>
        <v>0</v>
      </c>
      <c r="O67" s="1" t="str">
        <f t="shared" si="5"/>
        <v/>
      </c>
      <c r="P67" s="1" t="str">
        <f t="shared" ref="P67:P98" si="9">IF(L67="Pesanan Selesai", J67+O67, "")</f>
        <v/>
      </c>
    </row>
    <row r="68" spans="3:16" x14ac:dyDescent="0.25">
      <c r="C68" s="1"/>
      <c r="E68" s="1"/>
      <c r="F68" s="1"/>
      <c r="G68" s="1"/>
      <c r="H68" s="1">
        <f t="shared" si="6"/>
        <v>0</v>
      </c>
      <c r="I68" s="2">
        <f t="shared" si="7"/>
        <v>0</v>
      </c>
      <c r="J68" s="1">
        <f t="shared" si="8"/>
        <v>0</v>
      </c>
      <c r="O68" s="1" t="str">
        <f t="shared" si="5"/>
        <v/>
      </c>
      <c r="P68" s="1" t="str">
        <f t="shared" si="9"/>
        <v/>
      </c>
    </row>
    <row r="69" spans="3:16" x14ac:dyDescent="0.25">
      <c r="C69" s="1"/>
      <c r="E69" s="1"/>
      <c r="F69" s="1"/>
      <c r="G69" s="1"/>
      <c r="H69" s="1">
        <f t="shared" si="6"/>
        <v>0</v>
      </c>
      <c r="I69" s="2">
        <f t="shared" si="7"/>
        <v>0</v>
      </c>
      <c r="J69" s="1">
        <f t="shared" si="8"/>
        <v>0</v>
      </c>
      <c r="O69" s="1" t="str">
        <f t="shared" si="5"/>
        <v/>
      </c>
      <c r="P69" s="1" t="str">
        <f t="shared" si="9"/>
        <v/>
      </c>
    </row>
    <row r="70" spans="3:16" x14ac:dyDescent="0.25">
      <c r="C70" s="1"/>
      <c r="E70" s="1"/>
      <c r="F70" s="1"/>
      <c r="G70" s="1"/>
      <c r="H70" s="1">
        <f t="shared" si="6"/>
        <v>0</v>
      </c>
      <c r="I70" s="2">
        <f t="shared" si="7"/>
        <v>0</v>
      </c>
      <c r="J70" s="1">
        <f t="shared" si="8"/>
        <v>0</v>
      </c>
      <c r="O70" s="1" t="str">
        <f t="shared" si="5"/>
        <v/>
      </c>
      <c r="P70" s="1" t="str">
        <f t="shared" si="9"/>
        <v/>
      </c>
    </row>
    <row r="71" spans="3:16" x14ac:dyDescent="0.25">
      <c r="C71" s="1"/>
      <c r="E71" s="1"/>
      <c r="F71" s="1"/>
      <c r="G71" s="1"/>
      <c r="H71" s="1">
        <f t="shared" si="6"/>
        <v>0</v>
      </c>
      <c r="I71" s="2">
        <f t="shared" si="7"/>
        <v>0</v>
      </c>
      <c r="J71" s="1">
        <f t="shared" si="8"/>
        <v>0</v>
      </c>
      <c r="O71" s="1" t="str">
        <f t="shared" si="5"/>
        <v/>
      </c>
      <c r="P71" s="1" t="str">
        <f t="shared" si="9"/>
        <v/>
      </c>
    </row>
    <row r="72" spans="3:16" x14ac:dyDescent="0.25">
      <c r="C72" s="1"/>
      <c r="E72" s="1"/>
      <c r="F72" s="1"/>
      <c r="G72" s="1"/>
      <c r="H72" s="1">
        <f t="shared" si="6"/>
        <v>0</v>
      </c>
      <c r="I72" s="2">
        <f t="shared" si="7"/>
        <v>0</v>
      </c>
      <c r="J72" s="1">
        <f t="shared" si="8"/>
        <v>0</v>
      </c>
      <c r="O72" s="1" t="str">
        <f t="shared" si="5"/>
        <v/>
      </c>
      <c r="P72" s="1" t="str">
        <f t="shared" si="9"/>
        <v/>
      </c>
    </row>
    <row r="73" spans="3:16" x14ac:dyDescent="0.25">
      <c r="C73" s="1"/>
      <c r="E73" s="1"/>
      <c r="F73" s="1"/>
      <c r="G73" s="1"/>
      <c r="H73" s="1">
        <f t="shared" si="6"/>
        <v>0</v>
      </c>
      <c r="I73" s="2">
        <f t="shared" si="7"/>
        <v>0</v>
      </c>
      <c r="J73" s="1">
        <f t="shared" si="8"/>
        <v>0</v>
      </c>
      <c r="O73" s="1" t="str">
        <f t="shared" si="5"/>
        <v/>
      </c>
      <c r="P73" s="1" t="str">
        <f t="shared" si="9"/>
        <v/>
      </c>
    </row>
    <row r="74" spans="3:16" x14ac:dyDescent="0.25">
      <c r="C74" s="1"/>
      <c r="E74" s="1"/>
      <c r="F74" s="1"/>
      <c r="G74" s="1"/>
      <c r="H74" s="1">
        <f t="shared" si="6"/>
        <v>0</v>
      </c>
      <c r="I74" s="2">
        <f t="shared" si="7"/>
        <v>0</v>
      </c>
      <c r="J74" s="1">
        <f t="shared" si="8"/>
        <v>0</v>
      </c>
      <c r="O74" s="1" t="str">
        <f t="shared" si="5"/>
        <v/>
      </c>
      <c r="P74" s="1" t="str">
        <f t="shared" si="9"/>
        <v/>
      </c>
    </row>
    <row r="75" spans="3:16" x14ac:dyDescent="0.25">
      <c r="C75" s="1"/>
      <c r="E75" s="1"/>
      <c r="F75" s="1"/>
      <c r="G75" s="1"/>
      <c r="H75" s="1">
        <f t="shared" si="6"/>
        <v>0</v>
      </c>
      <c r="I75" s="2">
        <f t="shared" si="7"/>
        <v>0</v>
      </c>
      <c r="J75" s="1">
        <f t="shared" si="8"/>
        <v>0</v>
      </c>
      <c r="O75" s="1" t="str">
        <f t="shared" si="5"/>
        <v/>
      </c>
      <c r="P75" s="1" t="str">
        <f t="shared" si="9"/>
        <v/>
      </c>
    </row>
    <row r="76" spans="3:16" x14ac:dyDescent="0.25">
      <c r="C76" s="1"/>
      <c r="E76" s="1"/>
      <c r="F76" s="1"/>
      <c r="G76" s="1"/>
      <c r="H76" s="1">
        <f t="shared" si="6"/>
        <v>0</v>
      </c>
      <c r="I76" s="2">
        <f t="shared" si="7"/>
        <v>0</v>
      </c>
      <c r="J76" s="1">
        <f t="shared" si="8"/>
        <v>0</v>
      </c>
      <c r="O76" s="1" t="str">
        <f t="shared" si="5"/>
        <v/>
      </c>
      <c r="P76" s="1" t="str">
        <f t="shared" si="9"/>
        <v/>
      </c>
    </row>
    <row r="77" spans="3:16" x14ac:dyDescent="0.25">
      <c r="C77" s="1"/>
      <c r="E77" s="1"/>
      <c r="F77" s="1"/>
      <c r="G77" s="1"/>
      <c r="H77" s="1">
        <f t="shared" si="6"/>
        <v>0</v>
      </c>
      <c r="I77" s="2">
        <f t="shared" si="7"/>
        <v>0</v>
      </c>
      <c r="J77" s="1">
        <f t="shared" si="8"/>
        <v>0</v>
      </c>
      <c r="O77" s="1" t="str">
        <f t="shared" si="5"/>
        <v/>
      </c>
      <c r="P77" s="1" t="str">
        <f t="shared" si="9"/>
        <v/>
      </c>
    </row>
    <row r="78" spans="3:16" x14ac:dyDescent="0.25">
      <c r="C78" s="1"/>
      <c r="E78" s="1"/>
      <c r="F78" s="1"/>
      <c r="G78" s="1"/>
      <c r="H78" s="1">
        <f t="shared" si="6"/>
        <v>0</v>
      </c>
      <c r="I78" s="2">
        <f t="shared" si="7"/>
        <v>0</v>
      </c>
      <c r="J78" s="1">
        <f t="shared" si="8"/>
        <v>0</v>
      </c>
      <c r="O78" s="1" t="str">
        <f t="shared" si="5"/>
        <v/>
      </c>
      <c r="P78" s="1" t="str">
        <f t="shared" si="9"/>
        <v/>
      </c>
    </row>
    <row r="79" spans="3:16" x14ac:dyDescent="0.25">
      <c r="C79" s="1"/>
      <c r="E79" s="1"/>
      <c r="F79" s="1"/>
      <c r="G79" s="1"/>
      <c r="H79" s="1">
        <f t="shared" si="6"/>
        <v>0</v>
      </c>
      <c r="I79" s="2">
        <f t="shared" si="7"/>
        <v>0</v>
      </c>
      <c r="J79" s="1">
        <f t="shared" si="8"/>
        <v>0</v>
      </c>
      <c r="O79" s="1" t="str">
        <f t="shared" si="5"/>
        <v/>
      </c>
      <c r="P79" s="1" t="str">
        <f t="shared" si="9"/>
        <v/>
      </c>
    </row>
    <row r="80" spans="3:16" x14ac:dyDescent="0.25">
      <c r="C80" s="1"/>
      <c r="E80" s="1"/>
      <c r="F80" s="1"/>
      <c r="G80" s="1"/>
      <c r="H80" s="1">
        <f t="shared" si="6"/>
        <v>0</v>
      </c>
      <c r="I80" s="2">
        <f t="shared" si="7"/>
        <v>0</v>
      </c>
      <c r="J80" s="1">
        <f t="shared" si="8"/>
        <v>0</v>
      </c>
      <c r="O80" s="1" t="str">
        <f t="shared" si="5"/>
        <v/>
      </c>
      <c r="P80" s="1" t="str">
        <f t="shared" si="9"/>
        <v/>
      </c>
    </row>
    <row r="81" spans="3:16" x14ac:dyDescent="0.25">
      <c r="C81" s="1"/>
      <c r="E81" s="1"/>
      <c r="F81" s="1"/>
      <c r="G81" s="1"/>
      <c r="H81" s="1">
        <f t="shared" si="6"/>
        <v>0</v>
      </c>
      <c r="I81" s="2">
        <f t="shared" si="7"/>
        <v>0</v>
      </c>
      <c r="J81" s="1">
        <f t="shared" si="8"/>
        <v>0</v>
      </c>
      <c r="O81" s="1" t="str">
        <f t="shared" si="5"/>
        <v/>
      </c>
      <c r="P81" s="1" t="str">
        <f t="shared" si="9"/>
        <v/>
      </c>
    </row>
    <row r="82" spans="3:16" x14ac:dyDescent="0.25">
      <c r="C82" s="1"/>
      <c r="E82" s="1"/>
      <c r="F82" s="1"/>
      <c r="G82" s="1"/>
      <c r="H82" s="1">
        <f t="shared" si="6"/>
        <v>0</v>
      </c>
      <c r="I82" s="2">
        <f t="shared" si="7"/>
        <v>0</v>
      </c>
      <c r="J82" s="1">
        <f t="shared" si="8"/>
        <v>0</v>
      </c>
      <c r="O82" s="1" t="str">
        <f t="shared" si="5"/>
        <v/>
      </c>
      <c r="P82" s="1" t="str">
        <f t="shared" si="9"/>
        <v/>
      </c>
    </row>
    <row r="83" spans="3:16" x14ac:dyDescent="0.25">
      <c r="C83" s="1"/>
      <c r="E83" s="1"/>
      <c r="F83" s="1"/>
      <c r="G83" s="1"/>
      <c r="H83" s="1">
        <f t="shared" si="6"/>
        <v>0</v>
      </c>
      <c r="I83" s="2">
        <f t="shared" si="7"/>
        <v>0</v>
      </c>
      <c r="J83" s="1">
        <f t="shared" si="8"/>
        <v>0</v>
      </c>
      <c r="O83" s="1" t="str">
        <f t="shared" si="5"/>
        <v/>
      </c>
      <c r="P83" s="1" t="str">
        <f t="shared" si="9"/>
        <v/>
      </c>
    </row>
    <row r="84" spans="3:16" x14ac:dyDescent="0.25">
      <c r="C84" s="1"/>
      <c r="E84" s="1"/>
      <c r="F84" s="1"/>
      <c r="G84" s="1"/>
      <c r="H84" s="1">
        <f t="shared" si="6"/>
        <v>0</v>
      </c>
      <c r="I84" s="2">
        <f t="shared" si="7"/>
        <v>0</v>
      </c>
      <c r="J84" s="1">
        <f t="shared" si="8"/>
        <v>0</v>
      </c>
      <c r="O84" s="1" t="str">
        <f t="shared" si="5"/>
        <v/>
      </c>
      <c r="P84" s="1" t="str">
        <f t="shared" si="9"/>
        <v/>
      </c>
    </row>
    <row r="85" spans="3:16" x14ac:dyDescent="0.25">
      <c r="C85" s="1"/>
      <c r="E85" s="1"/>
      <c r="F85" s="1"/>
      <c r="G85" s="1"/>
      <c r="H85" s="1">
        <f t="shared" si="6"/>
        <v>0</v>
      </c>
      <c r="I85" s="2">
        <f t="shared" si="7"/>
        <v>0</v>
      </c>
      <c r="J85" s="1">
        <f t="shared" si="8"/>
        <v>0</v>
      </c>
      <c r="O85" s="1" t="str">
        <f t="shared" si="5"/>
        <v/>
      </c>
      <c r="P85" s="1" t="str">
        <f t="shared" si="9"/>
        <v/>
      </c>
    </row>
    <row r="86" spans="3:16" x14ac:dyDescent="0.25">
      <c r="C86" s="1"/>
      <c r="E86" s="1"/>
      <c r="F86" s="1"/>
      <c r="G86" s="1"/>
      <c r="H86" s="1">
        <f t="shared" si="6"/>
        <v>0</v>
      </c>
      <c r="I86" s="2">
        <f t="shared" si="7"/>
        <v>0</v>
      </c>
      <c r="J86" s="1">
        <f t="shared" si="8"/>
        <v>0</v>
      </c>
      <c r="O86" s="1" t="str">
        <f t="shared" si="5"/>
        <v/>
      </c>
      <c r="P86" s="1" t="str">
        <f t="shared" si="9"/>
        <v/>
      </c>
    </row>
    <row r="87" spans="3:16" x14ac:dyDescent="0.25">
      <c r="C87" s="1"/>
      <c r="E87" s="1"/>
      <c r="F87" s="1"/>
      <c r="G87" s="1"/>
      <c r="H87" s="1">
        <f t="shared" si="6"/>
        <v>0</v>
      </c>
      <c r="I87" s="2">
        <f t="shared" si="7"/>
        <v>0</v>
      </c>
      <c r="J87" s="1">
        <f t="shared" si="8"/>
        <v>0</v>
      </c>
      <c r="O87" s="1" t="str">
        <f t="shared" si="5"/>
        <v/>
      </c>
      <c r="P87" s="1" t="str">
        <f t="shared" si="9"/>
        <v/>
      </c>
    </row>
    <row r="88" spans="3:16" x14ac:dyDescent="0.25">
      <c r="C88" s="1"/>
      <c r="E88" s="1"/>
      <c r="F88" s="1"/>
      <c r="G88" s="1"/>
      <c r="H88" s="1">
        <f t="shared" si="6"/>
        <v>0</v>
      </c>
      <c r="I88" s="2">
        <f t="shared" si="7"/>
        <v>0</v>
      </c>
      <c r="J88" s="1">
        <f t="shared" si="8"/>
        <v>0</v>
      </c>
      <c r="O88" s="1" t="str">
        <f t="shared" si="5"/>
        <v/>
      </c>
      <c r="P88" s="1" t="str">
        <f t="shared" si="9"/>
        <v/>
      </c>
    </row>
    <row r="89" spans="3:16" x14ac:dyDescent="0.25">
      <c r="C89" s="1"/>
      <c r="E89" s="1"/>
      <c r="F89" s="1"/>
      <c r="G89" s="1"/>
      <c r="H89" s="1">
        <f t="shared" si="6"/>
        <v>0</v>
      </c>
      <c r="I89" s="2">
        <f t="shared" si="7"/>
        <v>0</v>
      </c>
      <c r="J89" s="1">
        <f t="shared" si="8"/>
        <v>0</v>
      </c>
      <c r="O89" s="1" t="str">
        <f t="shared" si="5"/>
        <v/>
      </c>
      <c r="P89" s="1" t="str">
        <f t="shared" si="9"/>
        <v/>
      </c>
    </row>
    <row r="90" spans="3:16" x14ac:dyDescent="0.25">
      <c r="C90" s="1"/>
      <c r="E90" s="1"/>
      <c r="F90" s="1"/>
      <c r="G90" s="1"/>
      <c r="H90" s="1">
        <f t="shared" si="6"/>
        <v>0</v>
      </c>
      <c r="I90" s="2">
        <f t="shared" si="7"/>
        <v>0</v>
      </c>
      <c r="J90" s="1">
        <f t="shared" si="8"/>
        <v>0</v>
      </c>
      <c r="O90" s="1" t="str">
        <f t="shared" si="5"/>
        <v/>
      </c>
      <c r="P90" s="1" t="str">
        <f t="shared" si="9"/>
        <v/>
      </c>
    </row>
    <row r="91" spans="3:16" x14ac:dyDescent="0.25">
      <c r="C91" s="1"/>
      <c r="E91" s="1"/>
      <c r="F91" s="1"/>
      <c r="G91" s="1"/>
      <c r="H91" s="1">
        <f t="shared" si="6"/>
        <v>0</v>
      </c>
      <c r="I91" s="2">
        <f t="shared" si="7"/>
        <v>0</v>
      </c>
      <c r="J91" s="1">
        <f t="shared" si="8"/>
        <v>0</v>
      </c>
      <c r="O91" s="1" t="str">
        <f t="shared" si="5"/>
        <v/>
      </c>
      <c r="P91" s="1" t="str">
        <f t="shared" si="9"/>
        <v/>
      </c>
    </row>
    <row r="92" spans="3:16" x14ac:dyDescent="0.25">
      <c r="C92" s="1"/>
      <c r="E92" s="1"/>
      <c r="F92" s="1"/>
      <c r="G92" s="1"/>
      <c r="H92" s="1">
        <f t="shared" si="6"/>
        <v>0</v>
      </c>
      <c r="I92" s="2">
        <f t="shared" si="7"/>
        <v>0</v>
      </c>
      <c r="J92" s="1">
        <f t="shared" si="8"/>
        <v>0</v>
      </c>
      <c r="O92" s="1" t="str">
        <f t="shared" si="5"/>
        <v/>
      </c>
      <c r="P92" s="1" t="str">
        <f t="shared" si="9"/>
        <v/>
      </c>
    </row>
    <row r="93" spans="3:16" x14ac:dyDescent="0.25">
      <c r="C93" s="1"/>
      <c r="E93" s="1"/>
      <c r="F93" s="1"/>
      <c r="G93" s="1"/>
      <c r="H93" s="1">
        <f t="shared" si="6"/>
        <v>0</v>
      </c>
      <c r="I93" s="2">
        <f t="shared" si="7"/>
        <v>0</v>
      </c>
      <c r="J93" s="1">
        <f t="shared" si="8"/>
        <v>0</v>
      </c>
      <c r="O93" s="1" t="str">
        <f t="shared" si="5"/>
        <v/>
      </c>
      <c r="P93" s="1" t="str">
        <f t="shared" si="9"/>
        <v/>
      </c>
    </row>
    <row r="94" spans="3:16" x14ac:dyDescent="0.25">
      <c r="C94" s="1"/>
      <c r="E94" s="1"/>
      <c r="F94" s="1"/>
      <c r="G94" s="1"/>
      <c r="H94" s="1">
        <f t="shared" si="6"/>
        <v>0</v>
      </c>
      <c r="I94" s="2">
        <f t="shared" si="7"/>
        <v>0</v>
      </c>
      <c r="J94" s="1">
        <f t="shared" si="8"/>
        <v>0</v>
      </c>
      <c r="O94" s="1" t="str">
        <f t="shared" si="5"/>
        <v/>
      </c>
      <c r="P94" s="1" t="str">
        <f t="shared" si="9"/>
        <v/>
      </c>
    </row>
    <row r="95" spans="3:16" x14ac:dyDescent="0.25">
      <c r="C95" s="1"/>
      <c r="E95" s="1"/>
      <c r="F95" s="1"/>
      <c r="G95" s="1"/>
      <c r="H95" s="1">
        <f t="shared" si="6"/>
        <v>0</v>
      </c>
      <c r="I95" s="2">
        <f t="shared" si="7"/>
        <v>0</v>
      </c>
      <c r="J95" s="1">
        <f t="shared" si="8"/>
        <v>0</v>
      </c>
      <c r="O95" s="1" t="str">
        <f t="shared" si="5"/>
        <v/>
      </c>
      <c r="P95" s="1" t="str">
        <f t="shared" si="9"/>
        <v/>
      </c>
    </row>
    <row r="96" spans="3:16" x14ac:dyDescent="0.25">
      <c r="C96" s="1"/>
      <c r="E96" s="1"/>
      <c r="F96" s="1"/>
      <c r="G96" s="1"/>
      <c r="H96" s="1">
        <f t="shared" si="6"/>
        <v>0</v>
      </c>
      <c r="I96" s="2">
        <f t="shared" si="7"/>
        <v>0</v>
      </c>
      <c r="J96" s="1">
        <f t="shared" si="8"/>
        <v>0</v>
      </c>
      <c r="O96" s="1" t="str">
        <f t="shared" si="5"/>
        <v/>
      </c>
      <c r="P96" s="1" t="str">
        <f t="shared" si="9"/>
        <v/>
      </c>
    </row>
    <row r="97" spans="3:16" x14ac:dyDescent="0.25">
      <c r="C97" s="1"/>
      <c r="E97" s="1"/>
      <c r="F97" s="1"/>
      <c r="G97" s="1"/>
      <c r="H97" s="1">
        <f t="shared" si="6"/>
        <v>0</v>
      </c>
      <c r="I97" s="2">
        <f t="shared" si="7"/>
        <v>0</v>
      </c>
      <c r="J97" s="1">
        <f t="shared" si="8"/>
        <v>0</v>
      </c>
      <c r="O97" s="1" t="str">
        <f t="shared" si="5"/>
        <v/>
      </c>
      <c r="P97" s="1" t="str">
        <f t="shared" si="9"/>
        <v/>
      </c>
    </row>
    <row r="98" spans="3:16" x14ac:dyDescent="0.25">
      <c r="C98" s="1"/>
      <c r="E98" s="1"/>
      <c r="F98" s="1"/>
      <c r="G98" s="1"/>
      <c r="H98" s="1">
        <f t="shared" si="6"/>
        <v>0</v>
      </c>
      <c r="I98" s="2">
        <f t="shared" si="7"/>
        <v>0</v>
      </c>
      <c r="J98" s="1">
        <f t="shared" si="8"/>
        <v>0</v>
      </c>
      <c r="O98" s="1" t="str">
        <f t="shared" si="5"/>
        <v/>
      </c>
      <c r="P98" s="1" t="str">
        <f t="shared" si="9"/>
        <v/>
      </c>
    </row>
    <row r="99" spans="3:16" x14ac:dyDescent="0.25">
      <c r="C99" s="1"/>
      <c r="E99" s="1"/>
      <c r="F99" s="1"/>
      <c r="G99" s="1"/>
    </row>
  </sheetData>
  <autoFilter ref="A1:I1" xr:uid="{2B08AA73-911C-4499-A579-5ADDF77D06D0}"/>
  <dataValidations count="1">
    <dataValidation type="list" allowBlank="1" showInputMessage="1" showErrorMessage="1" sqref="L2:L1048576" xr:uid="{03B7776A-2313-4D04-A245-92F4955040BA}">
      <formula1>$W$2:$W$4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6EFDA5C-0EA8-44B7-A4C0-D96147AD7F3A}">
          <x14:formula1>
            <xm:f>'Master Barang'!$A$2:$A$38</xm:f>
          </x14:formula1>
          <xm:sqref>C2:C99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1EB43-BDB5-40F7-8761-09CE4D1A500A}">
  <sheetPr codeName="Sheet6"/>
  <dimension ref="A1:L4"/>
  <sheetViews>
    <sheetView zoomScale="130" zoomScaleNormal="130" workbookViewId="0">
      <selection activeCell="I17" sqref="I17"/>
    </sheetView>
  </sheetViews>
  <sheetFormatPr defaultColWidth="20.28515625" defaultRowHeight="15" x14ac:dyDescent="0.25"/>
  <cols>
    <col min="1" max="1" width="3.5703125" bestFit="1" customWidth="1"/>
    <col min="2" max="2" width="25.28515625" bestFit="1" customWidth="1"/>
    <col min="3" max="3" width="8" bestFit="1" customWidth="1"/>
    <col min="4" max="4" width="11.85546875" bestFit="1" customWidth="1"/>
    <col min="5" max="5" width="13.85546875" style="2" bestFit="1" customWidth="1"/>
    <col min="6" max="6" width="13.7109375" bestFit="1" customWidth="1"/>
    <col min="7" max="7" width="1.140625" style="18" customWidth="1"/>
    <col min="8" max="8" width="3.5703125" bestFit="1" customWidth="1"/>
    <col min="9" max="9" width="9.85546875" bestFit="1" customWidth="1"/>
    <col min="10" max="10" width="39" bestFit="1" customWidth="1"/>
    <col min="11" max="11" width="13.85546875" style="2" bestFit="1" customWidth="1"/>
    <col min="12" max="12" width="13.7109375" bestFit="1" customWidth="1"/>
  </cols>
  <sheetData>
    <row r="1" spans="1:12" x14ac:dyDescent="0.25">
      <c r="A1" s="24" t="s">
        <v>85</v>
      </c>
      <c r="B1" s="24"/>
      <c r="C1" s="24"/>
      <c r="D1" s="24"/>
      <c r="E1" s="24"/>
      <c r="F1" s="24"/>
      <c r="H1" s="24" t="s">
        <v>86</v>
      </c>
      <c r="I1" s="24"/>
      <c r="J1" s="24"/>
      <c r="K1" s="24"/>
      <c r="L1" s="24"/>
    </row>
    <row r="2" spans="1:12" x14ac:dyDescent="0.25">
      <c r="A2" s="14" t="s">
        <v>18</v>
      </c>
      <c r="B2" s="14" t="s">
        <v>19</v>
      </c>
      <c r="C2" s="14" t="s">
        <v>20</v>
      </c>
      <c r="D2" s="14" t="s">
        <v>9</v>
      </c>
      <c r="E2" s="14" t="s">
        <v>63</v>
      </c>
      <c r="F2" s="14" t="s">
        <v>21</v>
      </c>
      <c r="H2" s="14" t="s">
        <v>18</v>
      </c>
      <c r="I2" s="14" t="s">
        <v>20</v>
      </c>
      <c r="J2" s="14" t="s">
        <v>9</v>
      </c>
      <c r="K2" s="19" t="s">
        <v>63</v>
      </c>
      <c r="L2" s="14" t="s">
        <v>91</v>
      </c>
    </row>
    <row r="3" spans="1:12" x14ac:dyDescent="0.25">
      <c r="A3">
        <v>1</v>
      </c>
      <c r="B3" t="s">
        <v>88</v>
      </c>
      <c r="C3">
        <v>202502</v>
      </c>
      <c r="D3" t="s">
        <v>87</v>
      </c>
      <c r="E3" s="2">
        <v>4727000</v>
      </c>
      <c r="F3" t="s">
        <v>89</v>
      </c>
      <c r="H3">
        <v>1</v>
      </c>
      <c r="I3">
        <v>20240205</v>
      </c>
      <c r="J3" t="s">
        <v>90</v>
      </c>
      <c r="K3" s="2">
        <v>-1771000</v>
      </c>
      <c r="L3" t="s">
        <v>92</v>
      </c>
    </row>
    <row r="4" spans="1:12" x14ac:dyDescent="0.25">
      <c r="H4">
        <v>2</v>
      </c>
      <c r="I4">
        <v>20240206</v>
      </c>
      <c r="J4" t="s">
        <v>133</v>
      </c>
      <c r="K4" s="2">
        <v>-1232000</v>
      </c>
      <c r="L4" t="s">
        <v>92</v>
      </c>
    </row>
  </sheetData>
  <mergeCells count="2">
    <mergeCell ref="A1:F1"/>
    <mergeCell ref="H1:L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9C8FD-7180-4894-818E-358533F61D11}">
  <sheetPr codeName="Sheet5"/>
  <dimension ref="A1:H15"/>
  <sheetViews>
    <sheetView zoomScale="130" zoomScaleNormal="130" workbookViewId="0">
      <selection activeCell="E16" sqref="E16"/>
    </sheetView>
  </sheetViews>
  <sheetFormatPr defaultColWidth="28.140625" defaultRowHeight="15" x14ac:dyDescent="0.25"/>
  <cols>
    <col min="1" max="1" width="4" bestFit="1" customWidth="1"/>
    <col min="2" max="2" width="10.140625" bestFit="1" customWidth="1"/>
    <col min="3" max="3" width="10.140625" customWidth="1"/>
    <col min="6" max="6" width="28.140625" style="2"/>
  </cols>
  <sheetData>
    <row r="1" spans="1:8" x14ac:dyDescent="0.25">
      <c r="A1" s="14" t="s">
        <v>8</v>
      </c>
      <c r="B1" s="14" t="s">
        <v>7</v>
      </c>
      <c r="C1" s="14"/>
      <c r="D1" s="14" t="s">
        <v>17</v>
      </c>
      <c r="E1" s="14" t="s">
        <v>9</v>
      </c>
      <c r="F1" s="14" t="s">
        <v>10</v>
      </c>
      <c r="H1" s="14" t="s">
        <v>142</v>
      </c>
    </row>
    <row r="2" spans="1:8" x14ac:dyDescent="0.25">
      <c r="A2">
        <v>1</v>
      </c>
      <c r="B2">
        <v>20250120</v>
      </c>
      <c r="C2" t="s">
        <v>79</v>
      </c>
      <c r="D2" t="s">
        <v>78</v>
      </c>
      <c r="E2" t="s">
        <v>77</v>
      </c>
      <c r="F2" s="2">
        <v>55500</v>
      </c>
      <c r="H2" t="s">
        <v>78</v>
      </c>
    </row>
    <row r="3" spans="1:8" x14ac:dyDescent="0.25">
      <c r="A3">
        <v>2</v>
      </c>
      <c r="B3">
        <v>20250202</v>
      </c>
      <c r="C3" t="s">
        <v>79</v>
      </c>
      <c r="D3" t="s">
        <v>78</v>
      </c>
      <c r="E3" t="s">
        <v>77</v>
      </c>
      <c r="F3" s="2">
        <v>55500</v>
      </c>
      <c r="H3" t="s">
        <v>94</v>
      </c>
    </row>
    <row r="4" spans="1:8" x14ac:dyDescent="0.25">
      <c r="A4">
        <v>3</v>
      </c>
      <c r="B4">
        <v>20250206</v>
      </c>
      <c r="C4" t="s">
        <v>79</v>
      </c>
      <c r="D4" t="s">
        <v>94</v>
      </c>
      <c r="E4" t="s">
        <v>93</v>
      </c>
      <c r="F4" s="2">
        <v>231000</v>
      </c>
      <c r="H4" t="s">
        <v>95</v>
      </c>
    </row>
    <row r="5" spans="1:8" x14ac:dyDescent="0.25">
      <c r="A5">
        <v>4</v>
      </c>
      <c r="B5">
        <v>20250206</v>
      </c>
      <c r="C5" t="s">
        <v>79</v>
      </c>
      <c r="D5" t="s">
        <v>95</v>
      </c>
      <c r="E5" t="s">
        <v>95</v>
      </c>
      <c r="F5" s="2">
        <v>2500</v>
      </c>
    </row>
    <row r="6" spans="1:8" x14ac:dyDescent="0.25">
      <c r="A6">
        <v>5</v>
      </c>
      <c r="B6">
        <v>20250206</v>
      </c>
      <c r="C6" t="s">
        <v>79</v>
      </c>
      <c r="D6" t="s">
        <v>95</v>
      </c>
      <c r="E6" t="s">
        <v>95</v>
      </c>
      <c r="F6" s="2">
        <v>2500</v>
      </c>
    </row>
    <row r="7" spans="1:8" x14ac:dyDescent="0.25">
      <c r="A7">
        <v>6</v>
      </c>
      <c r="B7">
        <v>20250209</v>
      </c>
      <c r="C7" t="s">
        <v>79</v>
      </c>
      <c r="D7" t="s">
        <v>94</v>
      </c>
      <c r="E7" t="s">
        <v>93</v>
      </c>
      <c r="F7" s="2">
        <v>231000</v>
      </c>
    </row>
    <row r="8" spans="1:8" x14ac:dyDescent="0.25">
      <c r="A8">
        <v>7</v>
      </c>
      <c r="B8">
        <v>20250210</v>
      </c>
      <c r="C8" t="s">
        <v>79</v>
      </c>
      <c r="D8" t="s">
        <v>95</v>
      </c>
      <c r="E8" t="s">
        <v>95</v>
      </c>
      <c r="F8" s="2">
        <v>2500</v>
      </c>
    </row>
    <row r="9" spans="1:8" x14ac:dyDescent="0.25">
      <c r="A9">
        <v>8</v>
      </c>
      <c r="B9">
        <v>20250210</v>
      </c>
      <c r="C9" t="s">
        <v>79</v>
      </c>
      <c r="D9" t="s">
        <v>95</v>
      </c>
      <c r="E9" t="s">
        <v>95</v>
      </c>
      <c r="F9" s="2">
        <v>2500</v>
      </c>
    </row>
    <row r="10" spans="1:8" x14ac:dyDescent="0.25">
      <c r="A10">
        <v>9</v>
      </c>
      <c r="B10">
        <v>20250210</v>
      </c>
      <c r="C10" t="s">
        <v>79</v>
      </c>
      <c r="D10" t="s">
        <v>94</v>
      </c>
      <c r="E10" t="s">
        <v>140</v>
      </c>
      <c r="F10" s="2">
        <v>50000</v>
      </c>
    </row>
    <row r="11" spans="1:8" x14ac:dyDescent="0.25">
      <c r="A11">
        <v>10</v>
      </c>
      <c r="B11">
        <v>20250210</v>
      </c>
      <c r="C11" t="s">
        <v>79</v>
      </c>
      <c r="D11" t="s">
        <v>78</v>
      </c>
      <c r="E11" t="s">
        <v>77</v>
      </c>
      <c r="F11" s="2">
        <v>55500</v>
      </c>
    </row>
    <row r="12" spans="1:8" x14ac:dyDescent="0.25">
      <c r="A12">
        <v>11</v>
      </c>
      <c r="B12">
        <v>20250210</v>
      </c>
      <c r="C12" t="s">
        <v>79</v>
      </c>
      <c r="D12" t="s">
        <v>78</v>
      </c>
      <c r="E12" t="s">
        <v>77</v>
      </c>
      <c r="F12" s="2">
        <v>55500</v>
      </c>
    </row>
    <row r="13" spans="1:8" x14ac:dyDescent="0.25">
      <c r="A13">
        <v>12</v>
      </c>
      <c r="B13">
        <v>20250210</v>
      </c>
      <c r="C13" t="s">
        <v>79</v>
      </c>
      <c r="D13" t="s">
        <v>94</v>
      </c>
      <c r="E13" t="s">
        <v>95</v>
      </c>
      <c r="F13" s="2">
        <v>2500</v>
      </c>
    </row>
    <row r="14" spans="1:8" x14ac:dyDescent="0.25">
      <c r="A14">
        <v>13</v>
      </c>
      <c r="B14">
        <v>20250310</v>
      </c>
      <c r="C14" t="s">
        <v>143</v>
      </c>
      <c r="D14" t="s">
        <v>94</v>
      </c>
      <c r="E14" t="s">
        <v>149</v>
      </c>
      <c r="F14" s="2">
        <v>231000</v>
      </c>
    </row>
    <row r="15" spans="1:8" x14ac:dyDescent="0.25">
      <c r="A15">
        <v>14</v>
      </c>
      <c r="B15">
        <v>20250316</v>
      </c>
      <c r="C15" t="s">
        <v>143</v>
      </c>
      <c r="D15" t="s">
        <v>94</v>
      </c>
      <c r="E15" t="s">
        <v>150</v>
      </c>
      <c r="F15" s="2">
        <v>193000</v>
      </c>
    </row>
  </sheetData>
  <autoFilter ref="A1:F1" xr:uid="{CDA9C8FD-7180-4894-818E-358533F61D11}">
    <sortState xmlns:xlrd2="http://schemas.microsoft.com/office/spreadsheetml/2017/richdata2" ref="A2:F6">
      <sortCondition ref="A1"/>
    </sortState>
  </autoFilter>
  <dataValidations count="1">
    <dataValidation type="list" allowBlank="1" showInputMessage="1" showErrorMessage="1" sqref="D2:D1048576" xr:uid="{C90789D2-B802-495B-BBF3-751CD57DAB31}">
      <formula1>$H$2:$H$4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DF151-19D8-4CA9-AA23-CDD81BFCF8EE}">
  <sheetPr codeName="Sheet7"/>
  <dimension ref="A1:E1"/>
  <sheetViews>
    <sheetView workbookViewId="0">
      <selection activeCell="O42" sqref="O42"/>
    </sheetView>
  </sheetViews>
  <sheetFormatPr defaultRowHeight="15" x14ac:dyDescent="0.25"/>
  <cols>
    <col min="1" max="1" width="4" bestFit="1" customWidth="1"/>
    <col min="2" max="2" width="8" bestFit="1" customWidth="1"/>
    <col min="3" max="3" width="5.42578125" bestFit="1" customWidth="1"/>
    <col min="4" max="4" width="11" bestFit="1" customWidth="1"/>
    <col min="5" max="5" width="8.85546875" bestFit="1" customWidth="1"/>
  </cols>
  <sheetData>
    <row r="1" spans="1:5" x14ac:dyDescent="0.25">
      <c r="A1" t="s">
        <v>8</v>
      </c>
      <c r="B1" t="s">
        <v>7</v>
      </c>
      <c r="C1" t="s">
        <v>17</v>
      </c>
      <c r="D1" t="s">
        <v>9</v>
      </c>
      <c r="E1" s="2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Master Barang</vt:lpstr>
      <vt:lpstr>Laporan Keuangan Summary</vt:lpstr>
      <vt:lpstr>Transaksi_barang_toko1</vt:lpstr>
      <vt:lpstr>Transaksi_barang_toko2</vt:lpstr>
      <vt:lpstr>Hutang</vt:lpstr>
      <vt:lpstr>Beban</vt:lpstr>
      <vt:lpstr>Pendapatan_Lainya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Giyasa a</dc:creator>
  <cp:lastModifiedBy>Giyasa a</cp:lastModifiedBy>
  <dcterms:created xsi:type="dcterms:W3CDTF">2025-01-02T06:33:12Z</dcterms:created>
  <dcterms:modified xsi:type="dcterms:W3CDTF">2025-03-16T13:18:54Z</dcterms:modified>
</cp:coreProperties>
</file>